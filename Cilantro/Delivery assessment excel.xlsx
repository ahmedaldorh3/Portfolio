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hidePivotFieldList="1"/>
  <mc:AlternateContent xmlns:mc="http://schemas.openxmlformats.org/markup-compatibility/2006">
    <mc:Choice Requires="x15">
      <x15ac:absPath xmlns:x15ac="http://schemas.microsoft.com/office/spreadsheetml/2010/11/ac" url="D:\Cilantro\"/>
    </mc:Choice>
  </mc:AlternateContent>
  <xr:revisionPtr revIDLastSave="0" documentId="13_ncr:1_{2E459B8D-E0CB-4B14-BF38-79DF9B7C405B}" xr6:coauthVersionLast="47" xr6:coauthVersionMax="47" xr10:uidLastSave="{00000000-0000-0000-0000-000000000000}"/>
  <bookViews>
    <workbookView xWindow="-96" yWindow="-96" windowWidth="23232" windowHeight="12696" activeTab="6" xr2:uid="{00000000-000D-0000-FFFF-FFFF00000000}"/>
  </bookViews>
  <sheets>
    <sheet name="Area vs sales" sheetId="5" r:id="rId1"/>
    <sheet name="Months vs Revenues" sheetId="7" r:id="rId2"/>
    <sheet name="Stores Vs revenues" sheetId="8" r:id="rId3"/>
    <sheet name="Max_branch" sheetId="10" r:id="rId4"/>
    <sheet name="Raw Data" sheetId="1" r:id="rId5"/>
    <sheet name="Area Breakdown" sheetId="2" r:id="rId6"/>
    <sheet name="Dashboard " sheetId="3" r:id="rId7"/>
  </sheets>
  <definedNames>
    <definedName name="_xlnm._FilterDatabase" localSheetId="4" hidden="1">'Raw Data'!$A$1:$D$2928</definedName>
    <definedName name="_xlcn.WorksheetConnection_RawDataAD" hidden="1">'Raw Data'!$A:$D</definedName>
    <definedName name="_xlcn.WorksheetConnection_RawDataBD" hidden="1">'Raw Data'!$B:$D</definedName>
    <definedName name="Slicer_Area">#N/A</definedName>
    <definedName name="Slicer_Date__Month">#N/A</definedName>
  </definedNames>
  <calcPr calcId="191029"/>
  <pivotCaches>
    <pivotCache cacheId="0" r:id="rId8"/>
    <pivotCache cacheId="46" r:id="rId9"/>
    <pivotCache cacheId="49" r:id="rId10"/>
    <pivotCache cacheId="52" r:id="rId11"/>
    <pivotCache cacheId="55" r:id="rId12"/>
    <pivotCache cacheId="58" r:id="rId13"/>
    <pivotCache cacheId="61" r:id="rId14"/>
  </pivotCaches>
  <extLst>
    <ext xmlns:x14="http://schemas.microsoft.com/office/spreadsheetml/2009/9/main" uri="{876F7934-8845-4945-9796-88D515C7AA90}">
      <x14:pivotCaches>
        <pivotCache cacheId="7" r:id="rId15"/>
      </x14:pivotCaches>
    </ext>
    <ext xmlns:x14="http://schemas.microsoft.com/office/spreadsheetml/2009/9/main" uri="{BBE1A952-AA13-448e-AADC-164F8A28A991}">
      <x14:slicerCaches>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1" name="Range 1" connection="WorksheetConnection_Raw Data!$B:$D"/>
          <x15:modelTable id="Range" name="Range" connection="WorksheetConnection_Raw Data!$A:$D"/>
        </x15:modelTables>
        <x15:extLst>
          <ext xmlns:x16="http://schemas.microsoft.com/office/spreadsheetml/2014/11/main" uri="{9835A34E-60A6-4A7C-AAB8-D5F71C897F49}">
            <x16:modelTimeGroupings>
              <x16:modelTimeGrouping tableName="Ran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 r="B4" i="1"/>
  <c r="B3"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33" i="1"/>
  <c r="B134" i="1"/>
  <c r="B135" i="1"/>
  <c r="B136" i="1"/>
  <c r="B137" i="1"/>
  <c r="B138" i="1"/>
  <c r="B139" i="1"/>
  <c r="B140" i="1"/>
  <c r="B141" i="1"/>
  <c r="B142" i="1"/>
  <c r="B143" i="1"/>
  <c r="B144" i="1"/>
  <c r="B145" i="1"/>
  <c r="B146" i="1"/>
  <c r="B147" i="1"/>
  <c r="B148" i="1"/>
  <c r="B149" i="1"/>
  <c r="B150" i="1"/>
  <c r="B151" i="1"/>
  <c r="B152" i="1"/>
  <c r="B153" i="1"/>
  <c r="B154" i="1"/>
  <c r="B155" i="1"/>
  <c r="B156" i="1"/>
  <c r="B157" i="1"/>
  <c r="B158" i="1"/>
  <c r="B159" i="1"/>
  <c r="B160" i="1"/>
  <c r="B161" i="1"/>
  <c r="B162" i="1"/>
  <c r="B163" i="1"/>
  <c r="B164" i="1"/>
  <c r="B165" i="1"/>
  <c r="B166" i="1"/>
  <c r="B167" i="1"/>
  <c r="B168" i="1"/>
  <c r="B169" i="1"/>
  <c r="B170" i="1"/>
  <c r="B171" i="1"/>
  <c r="B172" i="1"/>
  <c r="B173" i="1"/>
  <c r="B174" i="1"/>
  <c r="B175" i="1"/>
  <c r="B176" i="1"/>
  <c r="B177" i="1"/>
  <c r="B178" i="1"/>
  <c r="B179" i="1"/>
  <c r="B180" i="1"/>
  <c r="B181" i="1"/>
  <c r="B182" i="1"/>
  <c r="B183" i="1"/>
  <c r="B184" i="1"/>
  <c r="B185" i="1"/>
  <c r="B186" i="1"/>
  <c r="B187" i="1"/>
  <c r="B188" i="1"/>
  <c r="B189" i="1"/>
  <c r="B190" i="1"/>
  <c r="B191" i="1"/>
  <c r="B192" i="1"/>
  <c r="B193" i="1"/>
  <c r="B194" i="1"/>
  <c r="B195" i="1"/>
  <c r="B196" i="1"/>
  <c r="B197" i="1"/>
  <c r="B198" i="1"/>
  <c r="B199" i="1"/>
  <c r="B200" i="1"/>
  <c r="B201" i="1"/>
  <c r="B202" i="1"/>
  <c r="B203" i="1"/>
  <c r="B204" i="1"/>
  <c r="B205" i="1"/>
  <c r="B206" i="1"/>
  <c r="B207" i="1"/>
  <c r="B208" i="1"/>
  <c r="B209" i="1"/>
  <c r="B210" i="1"/>
  <c r="B211" i="1"/>
  <c r="B212" i="1"/>
  <c r="B213" i="1"/>
  <c r="B214" i="1"/>
  <c r="B215" i="1"/>
  <c r="B216" i="1"/>
  <c r="B217" i="1"/>
  <c r="B218" i="1"/>
  <c r="B219" i="1"/>
  <c r="B220" i="1"/>
  <c r="B221" i="1"/>
  <c r="B222" i="1"/>
  <c r="B223" i="1"/>
  <c r="B224" i="1"/>
  <c r="B225" i="1"/>
  <c r="B226" i="1"/>
  <c r="B227" i="1"/>
  <c r="B228" i="1"/>
  <c r="B229" i="1"/>
  <c r="B230" i="1"/>
  <c r="B231" i="1"/>
  <c r="B232" i="1"/>
  <c r="B233" i="1"/>
  <c r="B234" i="1"/>
  <c r="B235" i="1"/>
  <c r="B236" i="1"/>
  <c r="B237" i="1"/>
  <c r="B238" i="1"/>
  <c r="B239" i="1"/>
  <c r="B240" i="1"/>
  <c r="B241" i="1"/>
  <c r="B242" i="1"/>
  <c r="B243" i="1"/>
  <c r="B244" i="1"/>
  <c r="B245" i="1"/>
  <c r="B246" i="1"/>
  <c r="B247" i="1"/>
  <c r="B248" i="1"/>
  <c r="B249" i="1"/>
  <c r="B250" i="1"/>
  <c r="B251" i="1"/>
  <c r="B252" i="1"/>
  <c r="B253" i="1"/>
  <c r="B254" i="1"/>
  <c r="B255" i="1"/>
  <c r="B256" i="1"/>
  <c r="B257" i="1"/>
  <c r="B258" i="1"/>
  <c r="B259" i="1"/>
  <c r="B260" i="1"/>
  <c r="B261" i="1"/>
  <c r="B262" i="1"/>
  <c r="B263" i="1"/>
  <c r="B264" i="1"/>
  <c r="B265" i="1"/>
  <c r="B266" i="1"/>
  <c r="B267" i="1"/>
  <c r="B268" i="1"/>
  <c r="B269" i="1"/>
  <c r="B270" i="1"/>
  <c r="B271" i="1"/>
  <c r="B272" i="1"/>
  <c r="B273" i="1"/>
  <c r="B274" i="1"/>
  <c r="B275" i="1"/>
  <c r="B276" i="1"/>
  <c r="B277" i="1"/>
  <c r="B278" i="1"/>
  <c r="B279" i="1"/>
  <c r="B280" i="1"/>
  <c r="B281" i="1"/>
  <c r="B282" i="1"/>
  <c r="B283" i="1"/>
  <c r="B284" i="1"/>
  <c r="B285" i="1"/>
  <c r="B286" i="1"/>
  <c r="B287" i="1"/>
  <c r="B288" i="1"/>
  <c r="B289" i="1"/>
  <c r="B290" i="1"/>
  <c r="B291" i="1"/>
  <c r="B292" i="1"/>
  <c r="B293" i="1"/>
  <c r="B294" i="1"/>
  <c r="B295" i="1"/>
  <c r="B296" i="1"/>
  <c r="B297" i="1"/>
  <c r="B298" i="1"/>
  <c r="B299" i="1"/>
  <c r="B300" i="1"/>
  <c r="B301" i="1"/>
  <c r="B302" i="1"/>
  <c r="B303" i="1"/>
  <c r="B304" i="1"/>
  <c r="B305" i="1"/>
  <c r="B306" i="1"/>
  <c r="B307" i="1"/>
  <c r="B308" i="1"/>
  <c r="B309" i="1"/>
  <c r="B310" i="1"/>
  <c r="B311" i="1"/>
  <c r="B312" i="1"/>
  <c r="B313" i="1"/>
  <c r="B314" i="1"/>
  <c r="B315" i="1"/>
  <c r="B316" i="1"/>
  <c r="B317" i="1"/>
  <c r="B318" i="1"/>
  <c r="B319" i="1"/>
  <c r="B320" i="1"/>
  <c r="B321" i="1"/>
  <c r="B322" i="1"/>
  <c r="B323" i="1"/>
  <c r="B324" i="1"/>
  <c r="B325" i="1"/>
  <c r="B326" i="1"/>
  <c r="B327" i="1"/>
  <c r="B328" i="1"/>
  <c r="B329" i="1"/>
  <c r="B330" i="1"/>
  <c r="B331" i="1"/>
  <c r="B332" i="1"/>
  <c r="B333" i="1"/>
  <c r="B334" i="1"/>
  <c r="B335" i="1"/>
  <c r="B336" i="1"/>
  <c r="B337" i="1"/>
  <c r="B338" i="1"/>
  <c r="B339" i="1"/>
  <c r="B340" i="1"/>
  <c r="B341" i="1"/>
  <c r="B342" i="1"/>
  <c r="B343" i="1"/>
  <c r="B344" i="1"/>
  <c r="B345" i="1"/>
  <c r="B346" i="1"/>
  <c r="B347" i="1"/>
  <c r="B348" i="1"/>
  <c r="B349" i="1"/>
  <c r="B350" i="1"/>
  <c r="B351" i="1"/>
  <c r="B352" i="1"/>
  <c r="B353" i="1"/>
  <c r="B354" i="1"/>
  <c r="B355" i="1"/>
  <c r="B356" i="1"/>
  <c r="B357" i="1"/>
  <c r="B358" i="1"/>
  <c r="B359" i="1"/>
  <c r="B360" i="1"/>
  <c r="B361" i="1"/>
  <c r="B362" i="1"/>
  <c r="B363" i="1"/>
  <c r="B364" i="1"/>
  <c r="B365" i="1"/>
  <c r="B366" i="1"/>
  <c r="B367" i="1"/>
  <c r="B368" i="1"/>
  <c r="B369" i="1"/>
  <c r="B370" i="1"/>
  <c r="B371" i="1"/>
  <c r="B372" i="1"/>
  <c r="B373" i="1"/>
  <c r="B374" i="1"/>
  <c r="B375" i="1"/>
  <c r="B376" i="1"/>
  <c r="B377" i="1"/>
  <c r="B378" i="1"/>
  <c r="B379" i="1"/>
  <c r="B380" i="1"/>
  <c r="B381" i="1"/>
  <c r="B382" i="1"/>
  <c r="B383" i="1"/>
  <c r="B384" i="1"/>
  <c r="B385" i="1"/>
  <c r="B386" i="1"/>
  <c r="B387" i="1"/>
  <c r="B388" i="1"/>
  <c r="B389" i="1"/>
  <c r="B390" i="1"/>
  <c r="B391" i="1"/>
  <c r="B392" i="1"/>
  <c r="B393" i="1"/>
  <c r="B394" i="1"/>
  <c r="B395" i="1"/>
  <c r="B396" i="1"/>
  <c r="B397" i="1"/>
  <c r="B398" i="1"/>
  <c r="B399" i="1"/>
  <c r="B400" i="1"/>
  <c r="B401" i="1"/>
  <c r="B402" i="1"/>
  <c r="B403" i="1"/>
  <c r="B404" i="1"/>
  <c r="B405" i="1"/>
  <c r="B406" i="1"/>
  <c r="B407" i="1"/>
  <c r="B408" i="1"/>
  <c r="B409" i="1"/>
  <c r="B410" i="1"/>
  <c r="B411" i="1"/>
  <c r="B412" i="1"/>
  <c r="B413" i="1"/>
  <c r="B414" i="1"/>
  <c r="B415" i="1"/>
  <c r="B416" i="1"/>
  <c r="B417" i="1"/>
  <c r="B418" i="1"/>
  <c r="B419" i="1"/>
  <c r="B420" i="1"/>
  <c r="B421" i="1"/>
  <c r="B422" i="1"/>
  <c r="B423" i="1"/>
  <c r="B424" i="1"/>
  <c r="B425" i="1"/>
  <c r="B426" i="1"/>
  <c r="B427" i="1"/>
  <c r="B428" i="1"/>
  <c r="B429" i="1"/>
  <c r="B430" i="1"/>
  <c r="B431" i="1"/>
  <c r="B432" i="1"/>
  <c r="B433" i="1"/>
  <c r="B434" i="1"/>
  <c r="B435" i="1"/>
  <c r="B436" i="1"/>
  <c r="B437" i="1"/>
  <c r="B438" i="1"/>
  <c r="B439" i="1"/>
  <c r="B440" i="1"/>
  <c r="B441" i="1"/>
  <c r="B442" i="1"/>
  <c r="B443" i="1"/>
  <c r="B444" i="1"/>
  <c r="B445" i="1"/>
  <c r="B446" i="1"/>
  <c r="B447" i="1"/>
  <c r="B448" i="1"/>
  <c r="B449" i="1"/>
  <c r="B450" i="1"/>
  <c r="B451" i="1"/>
  <c r="B452" i="1"/>
  <c r="B453" i="1"/>
  <c r="B454" i="1"/>
  <c r="B455" i="1"/>
  <c r="B456" i="1"/>
  <c r="B457" i="1"/>
  <c r="B458" i="1"/>
  <c r="B459" i="1"/>
  <c r="B460" i="1"/>
  <c r="B461" i="1"/>
  <c r="B462" i="1"/>
  <c r="B463" i="1"/>
  <c r="B464" i="1"/>
  <c r="B465" i="1"/>
  <c r="B466" i="1"/>
  <c r="B467" i="1"/>
  <c r="B468" i="1"/>
  <c r="B469" i="1"/>
  <c r="B470" i="1"/>
  <c r="B471" i="1"/>
  <c r="B472" i="1"/>
  <c r="B473" i="1"/>
  <c r="B474" i="1"/>
  <c r="B475" i="1"/>
  <c r="B476" i="1"/>
  <c r="B477" i="1"/>
  <c r="B478" i="1"/>
  <c r="B479" i="1"/>
  <c r="B480" i="1"/>
  <c r="B481" i="1"/>
  <c r="B482" i="1"/>
  <c r="B483" i="1"/>
  <c r="B484" i="1"/>
  <c r="B485" i="1"/>
  <c r="B486" i="1"/>
  <c r="B487" i="1"/>
  <c r="B488" i="1"/>
  <c r="B489" i="1"/>
  <c r="B490" i="1"/>
  <c r="B491" i="1"/>
  <c r="B492" i="1"/>
  <c r="B493" i="1"/>
  <c r="B494" i="1"/>
  <c r="B495" i="1"/>
  <c r="B496" i="1"/>
  <c r="B497" i="1"/>
  <c r="B498" i="1"/>
  <c r="B499" i="1"/>
  <c r="B500" i="1"/>
  <c r="B501" i="1"/>
  <c r="B502" i="1"/>
  <c r="B503" i="1"/>
  <c r="B504" i="1"/>
  <c r="B505" i="1"/>
  <c r="B506" i="1"/>
  <c r="B507" i="1"/>
  <c r="B508" i="1"/>
  <c r="B509" i="1"/>
  <c r="B510" i="1"/>
  <c r="B511" i="1"/>
  <c r="B512" i="1"/>
  <c r="B513" i="1"/>
  <c r="B514" i="1"/>
  <c r="B515" i="1"/>
  <c r="B516" i="1"/>
  <c r="B517" i="1"/>
  <c r="B518" i="1"/>
  <c r="B519" i="1"/>
  <c r="B520" i="1"/>
  <c r="B521" i="1"/>
  <c r="B522" i="1"/>
  <c r="B523" i="1"/>
  <c r="B524" i="1"/>
  <c r="B525" i="1"/>
  <c r="B526" i="1"/>
  <c r="B527" i="1"/>
  <c r="B528" i="1"/>
  <c r="B529" i="1"/>
  <c r="B530" i="1"/>
  <c r="B531" i="1"/>
  <c r="B532" i="1"/>
  <c r="B533" i="1"/>
  <c r="B534" i="1"/>
  <c r="B535" i="1"/>
  <c r="B536" i="1"/>
  <c r="B537" i="1"/>
  <c r="B538" i="1"/>
  <c r="B539" i="1"/>
  <c r="B540" i="1"/>
  <c r="B541" i="1"/>
  <c r="B542" i="1"/>
  <c r="B543" i="1"/>
  <c r="B544" i="1"/>
  <c r="B545" i="1"/>
  <c r="B546" i="1"/>
  <c r="B547" i="1"/>
  <c r="B548" i="1"/>
  <c r="B549" i="1"/>
  <c r="B550" i="1"/>
  <c r="B551" i="1"/>
  <c r="B552" i="1"/>
  <c r="B553" i="1"/>
  <c r="B554" i="1"/>
  <c r="B555" i="1"/>
  <c r="B556" i="1"/>
  <c r="B557" i="1"/>
  <c r="B558" i="1"/>
  <c r="B559" i="1"/>
  <c r="B560" i="1"/>
  <c r="B561" i="1"/>
  <c r="B562" i="1"/>
  <c r="B563" i="1"/>
  <c r="B564" i="1"/>
  <c r="B565" i="1"/>
  <c r="B566" i="1"/>
  <c r="B567" i="1"/>
  <c r="B568" i="1"/>
  <c r="B569" i="1"/>
  <c r="B570" i="1"/>
  <c r="B571" i="1"/>
  <c r="B572" i="1"/>
  <c r="B573" i="1"/>
  <c r="B574" i="1"/>
  <c r="B575" i="1"/>
  <c r="B576" i="1"/>
  <c r="B577" i="1"/>
  <c r="B578" i="1"/>
  <c r="B579" i="1"/>
  <c r="B580" i="1"/>
  <c r="B581" i="1"/>
  <c r="B582" i="1"/>
  <c r="B583" i="1"/>
  <c r="B584" i="1"/>
  <c r="B585" i="1"/>
  <c r="B586" i="1"/>
  <c r="B587" i="1"/>
  <c r="B588" i="1"/>
  <c r="B589" i="1"/>
  <c r="B590" i="1"/>
  <c r="B591" i="1"/>
  <c r="B592" i="1"/>
  <c r="B593" i="1"/>
  <c r="B594" i="1"/>
  <c r="B595" i="1"/>
  <c r="B596" i="1"/>
  <c r="B597" i="1"/>
  <c r="B598" i="1"/>
  <c r="B599" i="1"/>
  <c r="B600" i="1"/>
  <c r="B601" i="1"/>
  <c r="B602" i="1"/>
  <c r="B603" i="1"/>
  <c r="B604" i="1"/>
  <c r="B605" i="1"/>
  <c r="B606" i="1"/>
  <c r="B607" i="1"/>
  <c r="B608" i="1"/>
  <c r="B609" i="1"/>
  <c r="B610" i="1"/>
  <c r="B611" i="1"/>
  <c r="B612" i="1"/>
  <c r="B613" i="1"/>
  <c r="B614" i="1"/>
  <c r="B615" i="1"/>
  <c r="B616" i="1"/>
  <c r="B617" i="1"/>
  <c r="B618" i="1"/>
  <c r="B619" i="1"/>
  <c r="B620" i="1"/>
  <c r="B621" i="1"/>
  <c r="B622" i="1"/>
  <c r="B623" i="1"/>
  <c r="B624" i="1"/>
  <c r="B625" i="1"/>
  <c r="B626" i="1"/>
  <c r="B627" i="1"/>
  <c r="B628" i="1"/>
  <c r="B629" i="1"/>
  <c r="B630" i="1"/>
  <c r="B631" i="1"/>
  <c r="B632" i="1"/>
  <c r="B633" i="1"/>
  <c r="B634" i="1"/>
  <c r="B635" i="1"/>
  <c r="B636" i="1"/>
  <c r="B637" i="1"/>
  <c r="B638" i="1"/>
  <c r="B639" i="1"/>
  <c r="B640" i="1"/>
  <c r="B641" i="1"/>
  <c r="B642" i="1"/>
  <c r="B643" i="1"/>
  <c r="B644" i="1"/>
  <c r="B645" i="1"/>
  <c r="B646" i="1"/>
  <c r="B647" i="1"/>
  <c r="B648" i="1"/>
  <c r="B649" i="1"/>
  <c r="B650" i="1"/>
  <c r="B651" i="1"/>
  <c r="B652" i="1"/>
  <c r="B653" i="1"/>
  <c r="B654" i="1"/>
  <c r="B655" i="1"/>
  <c r="B656" i="1"/>
  <c r="B657" i="1"/>
  <c r="B658" i="1"/>
  <c r="B659" i="1"/>
  <c r="B660" i="1"/>
  <c r="B661" i="1"/>
  <c r="B662" i="1"/>
  <c r="B663" i="1"/>
  <c r="B664" i="1"/>
  <c r="B665" i="1"/>
  <c r="B666" i="1"/>
  <c r="B667" i="1"/>
  <c r="B668" i="1"/>
  <c r="B669" i="1"/>
  <c r="B670" i="1"/>
  <c r="B671" i="1"/>
  <c r="B672" i="1"/>
  <c r="B673" i="1"/>
  <c r="B674" i="1"/>
  <c r="B675" i="1"/>
  <c r="B676" i="1"/>
  <c r="B677" i="1"/>
  <c r="B678" i="1"/>
  <c r="B679" i="1"/>
  <c r="B680" i="1"/>
  <c r="B681" i="1"/>
  <c r="B682" i="1"/>
  <c r="B683" i="1"/>
  <c r="B684" i="1"/>
  <c r="B685" i="1"/>
  <c r="B686" i="1"/>
  <c r="B687" i="1"/>
  <c r="B688" i="1"/>
  <c r="B689" i="1"/>
  <c r="B690" i="1"/>
  <c r="B691" i="1"/>
  <c r="B692" i="1"/>
  <c r="B693" i="1"/>
  <c r="B694" i="1"/>
  <c r="B695" i="1"/>
  <c r="B696" i="1"/>
  <c r="B697" i="1"/>
  <c r="B698" i="1"/>
  <c r="B699" i="1"/>
  <c r="B700" i="1"/>
  <c r="B701" i="1"/>
  <c r="B702" i="1"/>
  <c r="B703" i="1"/>
  <c r="B704" i="1"/>
  <c r="B705" i="1"/>
  <c r="B706" i="1"/>
  <c r="B707" i="1"/>
  <c r="B708" i="1"/>
  <c r="B709" i="1"/>
  <c r="B710" i="1"/>
  <c r="B711" i="1"/>
  <c r="B712" i="1"/>
  <c r="B713" i="1"/>
  <c r="B714" i="1"/>
  <c r="B715" i="1"/>
  <c r="B716" i="1"/>
  <c r="B717" i="1"/>
  <c r="B718" i="1"/>
  <c r="B719" i="1"/>
  <c r="B720" i="1"/>
  <c r="B721" i="1"/>
  <c r="B722" i="1"/>
  <c r="B723" i="1"/>
  <c r="B724" i="1"/>
  <c r="B725" i="1"/>
  <c r="B726" i="1"/>
  <c r="B727" i="1"/>
  <c r="B728" i="1"/>
  <c r="B729" i="1"/>
  <c r="B730" i="1"/>
  <c r="B731" i="1"/>
  <c r="B732" i="1"/>
  <c r="B733" i="1"/>
  <c r="B734" i="1"/>
  <c r="B735" i="1"/>
  <c r="B736" i="1"/>
  <c r="B737" i="1"/>
  <c r="B738" i="1"/>
  <c r="B739" i="1"/>
  <c r="B740" i="1"/>
  <c r="B741" i="1"/>
  <c r="B742" i="1"/>
  <c r="B743" i="1"/>
  <c r="B744" i="1"/>
  <c r="B745" i="1"/>
  <c r="B746" i="1"/>
  <c r="B747" i="1"/>
  <c r="B748" i="1"/>
  <c r="B749" i="1"/>
  <c r="B750" i="1"/>
  <c r="B751" i="1"/>
  <c r="B752" i="1"/>
  <c r="B753" i="1"/>
  <c r="B754" i="1"/>
  <c r="B755" i="1"/>
  <c r="B756" i="1"/>
  <c r="B757" i="1"/>
  <c r="B758" i="1"/>
  <c r="B759" i="1"/>
  <c r="B760" i="1"/>
  <c r="B761" i="1"/>
  <c r="B762" i="1"/>
  <c r="B763" i="1"/>
  <c r="B764" i="1"/>
  <c r="B765" i="1"/>
  <c r="B766" i="1"/>
  <c r="B767" i="1"/>
  <c r="B768" i="1"/>
  <c r="B769" i="1"/>
  <c r="B770" i="1"/>
  <c r="B771" i="1"/>
  <c r="B772" i="1"/>
  <c r="B773" i="1"/>
  <c r="B774" i="1"/>
  <c r="B775" i="1"/>
  <c r="B776" i="1"/>
  <c r="B777" i="1"/>
  <c r="B778" i="1"/>
  <c r="B779" i="1"/>
  <c r="B780" i="1"/>
  <c r="B781" i="1"/>
  <c r="B782" i="1"/>
  <c r="B783" i="1"/>
  <c r="B784" i="1"/>
  <c r="B785" i="1"/>
  <c r="B786" i="1"/>
  <c r="B787" i="1"/>
  <c r="B788" i="1"/>
  <c r="B789" i="1"/>
  <c r="B790" i="1"/>
  <c r="B791" i="1"/>
  <c r="B792" i="1"/>
  <c r="B793" i="1"/>
  <c r="B794" i="1"/>
  <c r="B795" i="1"/>
  <c r="B796" i="1"/>
  <c r="B797" i="1"/>
  <c r="B798" i="1"/>
  <c r="B799" i="1"/>
  <c r="B800" i="1"/>
  <c r="B801" i="1"/>
  <c r="B802" i="1"/>
  <c r="B803" i="1"/>
  <c r="B804" i="1"/>
  <c r="B805" i="1"/>
  <c r="B806" i="1"/>
  <c r="B807" i="1"/>
  <c r="B808" i="1"/>
  <c r="B809" i="1"/>
  <c r="B810" i="1"/>
  <c r="B811" i="1"/>
  <c r="B812" i="1"/>
  <c r="B813" i="1"/>
  <c r="B814" i="1"/>
  <c r="B815" i="1"/>
  <c r="B816" i="1"/>
  <c r="B817" i="1"/>
  <c r="B818" i="1"/>
  <c r="B819" i="1"/>
  <c r="B820" i="1"/>
  <c r="B821" i="1"/>
  <c r="B822" i="1"/>
  <c r="B823" i="1"/>
  <c r="B824" i="1"/>
  <c r="B825" i="1"/>
  <c r="B826" i="1"/>
  <c r="B827" i="1"/>
  <c r="B828" i="1"/>
  <c r="B829" i="1"/>
  <c r="B830" i="1"/>
  <c r="B831" i="1"/>
  <c r="B832" i="1"/>
  <c r="B833" i="1"/>
  <c r="B834" i="1"/>
  <c r="B835" i="1"/>
  <c r="B836" i="1"/>
  <c r="B837" i="1"/>
  <c r="B838" i="1"/>
  <c r="B839" i="1"/>
  <c r="B840" i="1"/>
  <c r="B841" i="1"/>
  <c r="B842" i="1"/>
  <c r="B843" i="1"/>
  <c r="B844" i="1"/>
  <c r="B845" i="1"/>
  <c r="B846" i="1"/>
  <c r="B847" i="1"/>
  <c r="B848" i="1"/>
  <c r="B849" i="1"/>
  <c r="B850" i="1"/>
  <c r="B851" i="1"/>
  <c r="B852" i="1"/>
  <c r="B853" i="1"/>
  <c r="B854" i="1"/>
  <c r="B855" i="1"/>
  <c r="B856" i="1"/>
  <c r="B857" i="1"/>
  <c r="B858" i="1"/>
  <c r="B859" i="1"/>
  <c r="B860" i="1"/>
  <c r="B861" i="1"/>
  <c r="B862" i="1"/>
  <c r="B863" i="1"/>
  <c r="B864" i="1"/>
  <c r="B865" i="1"/>
  <c r="B866" i="1"/>
  <c r="B867" i="1"/>
  <c r="B868" i="1"/>
  <c r="B869" i="1"/>
  <c r="B870" i="1"/>
  <c r="B871" i="1"/>
  <c r="B872" i="1"/>
  <c r="B873" i="1"/>
  <c r="B874" i="1"/>
  <c r="B875" i="1"/>
  <c r="B876" i="1"/>
  <c r="B877" i="1"/>
  <c r="B878" i="1"/>
  <c r="B879" i="1"/>
  <c r="B880" i="1"/>
  <c r="B881" i="1"/>
  <c r="B882" i="1"/>
  <c r="B883" i="1"/>
  <c r="B884" i="1"/>
  <c r="B885" i="1"/>
  <c r="B886" i="1"/>
  <c r="B887" i="1"/>
  <c r="B888" i="1"/>
  <c r="B889" i="1"/>
  <c r="B890" i="1"/>
  <c r="B891" i="1"/>
  <c r="B892" i="1"/>
  <c r="B893" i="1"/>
  <c r="B894" i="1"/>
  <c r="B895" i="1"/>
  <c r="B896" i="1"/>
  <c r="B897" i="1"/>
  <c r="B898" i="1"/>
  <c r="B899" i="1"/>
  <c r="B900" i="1"/>
  <c r="B901" i="1"/>
  <c r="B902" i="1"/>
  <c r="B903" i="1"/>
  <c r="B904" i="1"/>
  <c r="B905" i="1"/>
  <c r="B906" i="1"/>
  <c r="B907" i="1"/>
  <c r="B908" i="1"/>
  <c r="B909" i="1"/>
  <c r="B910" i="1"/>
  <c r="B911" i="1"/>
  <c r="B912" i="1"/>
  <c r="B913" i="1"/>
  <c r="B914" i="1"/>
  <c r="B915" i="1"/>
  <c r="B916" i="1"/>
  <c r="B917" i="1"/>
  <c r="B918" i="1"/>
  <c r="B919" i="1"/>
  <c r="B920" i="1"/>
  <c r="B921" i="1"/>
  <c r="B922" i="1"/>
  <c r="B923" i="1"/>
  <c r="B924" i="1"/>
  <c r="B925" i="1"/>
  <c r="B926" i="1"/>
  <c r="B927" i="1"/>
  <c r="B928" i="1"/>
  <c r="B929" i="1"/>
  <c r="B930" i="1"/>
  <c r="B931" i="1"/>
  <c r="B932" i="1"/>
  <c r="B933" i="1"/>
  <c r="B934" i="1"/>
  <c r="B935" i="1"/>
  <c r="B936" i="1"/>
  <c r="B937" i="1"/>
  <c r="B938" i="1"/>
  <c r="B939" i="1"/>
  <c r="B940" i="1"/>
  <c r="B941" i="1"/>
  <c r="B942" i="1"/>
  <c r="B943" i="1"/>
  <c r="B944" i="1"/>
  <c r="B945" i="1"/>
  <c r="B946" i="1"/>
  <c r="B947" i="1"/>
  <c r="B948" i="1"/>
  <c r="B949" i="1"/>
  <c r="B950" i="1"/>
  <c r="B951" i="1"/>
  <c r="B952" i="1"/>
  <c r="B953" i="1"/>
  <c r="B954" i="1"/>
  <c r="B955" i="1"/>
  <c r="B956" i="1"/>
  <c r="B957" i="1"/>
  <c r="B958" i="1"/>
  <c r="B959" i="1"/>
  <c r="B960" i="1"/>
  <c r="B961" i="1"/>
  <c r="B962" i="1"/>
  <c r="B963" i="1"/>
  <c r="B964" i="1"/>
  <c r="B965" i="1"/>
  <c r="B966" i="1"/>
  <c r="B967" i="1"/>
  <c r="B968" i="1"/>
  <c r="B969" i="1"/>
  <c r="B970" i="1"/>
  <c r="B971" i="1"/>
  <c r="B972" i="1"/>
  <c r="B973" i="1"/>
  <c r="B974" i="1"/>
  <c r="B975" i="1"/>
  <c r="B976" i="1"/>
  <c r="B977" i="1"/>
  <c r="B978" i="1"/>
  <c r="B979" i="1"/>
  <c r="B980" i="1"/>
  <c r="B981" i="1"/>
  <c r="B982" i="1"/>
  <c r="B983" i="1"/>
  <c r="B984" i="1"/>
  <c r="B985" i="1"/>
  <c r="B986" i="1"/>
  <c r="B987" i="1"/>
  <c r="B988" i="1"/>
  <c r="B989" i="1"/>
  <c r="B990" i="1"/>
  <c r="B991" i="1"/>
  <c r="B992" i="1"/>
  <c r="B993" i="1"/>
  <c r="B994" i="1"/>
  <c r="B995" i="1"/>
  <c r="B996" i="1"/>
  <c r="B997" i="1"/>
  <c r="B998" i="1"/>
  <c r="B999" i="1"/>
  <c r="B1000" i="1"/>
  <c r="B1001" i="1"/>
  <c r="B1002" i="1"/>
  <c r="B1003" i="1"/>
  <c r="B1004" i="1"/>
  <c r="B1005" i="1"/>
  <c r="B1006" i="1"/>
  <c r="B1007" i="1"/>
  <c r="B1008" i="1"/>
  <c r="B1009" i="1"/>
  <c r="B1010" i="1"/>
  <c r="B1011" i="1"/>
  <c r="B1012" i="1"/>
  <c r="B1013" i="1"/>
  <c r="B1014" i="1"/>
  <c r="B1015" i="1"/>
  <c r="B1016" i="1"/>
  <c r="B1017" i="1"/>
  <c r="B1018" i="1"/>
  <c r="B1019" i="1"/>
  <c r="B1020" i="1"/>
  <c r="B1021" i="1"/>
  <c r="B1022" i="1"/>
  <c r="B1023" i="1"/>
  <c r="B1024" i="1"/>
  <c r="B1025" i="1"/>
  <c r="B1026" i="1"/>
  <c r="B1027" i="1"/>
  <c r="B1028" i="1"/>
  <c r="B1029" i="1"/>
  <c r="B1030" i="1"/>
  <c r="B1031" i="1"/>
  <c r="B1032" i="1"/>
  <c r="B1033" i="1"/>
  <c r="B1034" i="1"/>
  <c r="B1035" i="1"/>
  <c r="B1036" i="1"/>
  <c r="B1037" i="1"/>
  <c r="B1038" i="1"/>
  <c r="B1039" i="1"/>
  <c r="B1040" i="1"/>
  <c r="B1041" i="1"/>
  <c r="B1042" i="1"/>
  <c r="B1043" i="1"/>
  <c r="B1044" i="1"/>
  <c r="B1045" i="1"/>
  <c r="B1046" i="1"/>
  <c r="B1047" i="1"/>
  <c r="B1048" i="1"/>
  <c r="B1049" i="1"/>
  <c r="B1050" i="1"/>
  <c r="B1051" i="1"/>
  <c r="B1052" i="1"/>
  <c r="B1053" i="1"/>
  <c r="B1054" i="1"/>
  <c r="B1055" i="1"/>
  <c r="B1056" i="1"/>
  <c r="B1057" i="1"/>
  <c r="B1058" i="1"/>
  <c r="B1059" i="1"/>
  <c r="B1060" i="1"/>
  <c r="B1061" i="1"/>
  <c r="B1062" i="1"/>
  <c r="B1063" i="1"/>
  <c r="B1064" i="1"/>
  <c r="B1065" i="1"/>
  <c r="B1066" i="1"/>
  <c r="B1067" i="1"/>
  <c r="B1068" i="1"/>
  <c r="B1069" i="1"/>
  <c r="B1070" i="1"/>
  <c r="B1071" i="1"/>
  <c r="B1072" i="1"/>
  <c r="B1073" i="1"/>
  <c r="B1074" i="1"/>
  <c r="B1075" i="1"/>
  <c r="B1076" i="1"/>
  <c r="B1077" i="1"/>
  <c r="B1078" i="1"/>
  <c r="B1079" i="1"/>
  <c r="B1080" i="1"/>
  <c r="B1081" i="1"/>
  <c r="B1082" i="1"/>
  <c r="B1083" i="1"/>
  <c r="B1084" i="1"/>
  <c r="B1085" i="1"/>
  <c r="B1086" i="1"/>
  <c r="B1087" i="1"/>
  <c r="B1088" i="1"/>
  <c r="B1089" i="1"/>
  <c r="B1090" i="1"/>
  <c r="B1091" i="1"/>
  <c r="B1092" i="1"/>
  <c r="B1093" i="1"/>
  <c r="B1094" i="1"/>
  <c r="B1095" i="1"/>
  <c r="B1096" i="1"/>
  <c r="B1097" i="1"/>
  <c r="B1098" i="1"/>
  <c r="B1099" i="1"/>
  <c r="B1100" i="1"/>
  <c r="B1101" i="1"/>
  <c r="B1102" i="1"/>
  <c r="B1103" i="1"/>
  <c r="B1104" i="1"/>
  <c r="B1105" i="1"/>
  <c r="B1106" i="1"/>
  <c r="B1107" i="1"/>
  <c r="B1108" i="1"/>
  <c r="B1109" i="1"/>
  <c r="B1110" i="1"/>
  <c r="B1111" i="1"/>
  <c r="B1112" i="1"/>
  <c r="B1113" i="1"/>
  <c r="B1114" i="1"/>
  <c r="B1115" i="1"/>
  <c r="B1116" i="1"/>
  <c r="B1117" i="1"/>
  <c r="B1118" i="1"/>
  <c r="B1119" i="1"/>
  <c r="B1120" i="1"/>
  <c r="B1121" i="1"/>
  <c r="B1122" i="1"/>
  <c r="B1123" i="1"/>
  <c r="B1124" i="1"/>
  <c r="B1125" i="1"/>
  <c r="B1126" i="1"/>
  <c r="B1127" i="1"/>
  <c r="B1128" i="1"/>
  <c r="B1129" i="1"/>
  <c r="B1130" i="1"/>
  <c r="B1131" i="1"/>
  <c r="B1132" i="1"/>
  <c r="B1133" i="1"/>
  <c r="B1134" i="1"/>
  <c r="B1135" i="1"/>
  <c r="B1136" i="1"/>
  <c r="B1137" i="1"/>
  <c r="B1138" i="1"/>
  <c r="B1139" i="1"/>
  <c r="B1140" i="1"/>
  <c r="B1141" i="1"/>
  <c r="B1142" i="1"/>
  <c r="B1143" i="1"/>
  <c r="B1144" i="1"/>
  <c r="B1145" i="1"/>
  <c r="B1146" i="1"/>
  <c r="B1147" i="1"/>
  <c r="B1148" i="1"/>
  <c r="B1149" i="1"/>
  <c r="B1150" i="1"/>
  <c r="B1151" i="1"/>
  <c r="B1152" i="1"/>
  <c r="B1153" i="1"/>
  <c r="B1154" i="1"/>
  <c r="B1155" i="1"/>
  <c r="B1156" i="1"/>
  <c r="B1157" i="1"/>
  <c r="B1158" i="1"/>
  <c r="B1159" i="1"/>
  <c r="B1160" i="1"/>
  <c r="B1161" i="1"/>
  <c r="B1162" i="1"/>
  <c r="B1163" i="1"/>
  <c r="B1164" i="1"/>
  <c r="B1165" i="1"/>
  <c r="B1166" i="1"/>
  <c r="B1167" i="1"/>
  <c r="B1168" i="1"/>
  <c r="B1169" i="1"/>
  <c r="B1170" i="1"/>
  <c r="B1171" i="1"/>
  <c r="B1172" i="1"/>
  <c r="B1173" i="1"/>
  <c r="B1174" i="1"/>
  <c r="B1175" i="1"/>
  <c r="B1176" i="1"/>
  <c r="B1177" i="1"/>
  <c r="B1178" i="1"/>
  <c r="B1179" i="1"/>
  <c r="B1180" i="1"/>
  <c r="B1181" i="1"/>
  <c r="B1182" i="1"/>
  <c r="B1183" i="1"/>
  <c r="B1184" i="1"/>
  <c r="B1185" i="1"/>
  <c r="B1186" i="1"/>
  <c r="B1187" i="1"/>
  <c r="B1188" i="1"/>
  <c r="B1189" i="1"/>
  <c r="B1190" i="1"/>
  <c r="B1191" i="1"/>
  <c r="B1192" i="1"/>
  <c r="B1193" i="1"/>
  <c r="B1194" i="1"/>
  <c r="B1195" i="1"/>
  <c r="B1196" i="1"/>
  <c r="B1197" i="1"/>
  <c r="B1198" i="1"/>
  <c r="B1199" i="1"/>
  <c r="B1200" i="1"/>
  <c r="B1201" i="1"/>
  <c r="B1202" i="1"/>
  <c r="B1203" i="1"/>
  <c r="B1204" i="1"/>
  <c r="B1205" i="1"/>
  <c r="B1206" i="1"/>
  <c r="B1207" i="1"/>
  <c r="B1208" i="1"/>
  <c r="B1209" i="1"/>
  <c r="B1210" i="1"/>
  <c r="B1211" i="1"/>
  <c r="B1212" i="1"/>
  <c r="B1213" i="1"/>
  <c r="B1214" i="1"/>
  <c r="B1215" i="1"/>
  <c r="B1216" i="1"/>
  <c r="B1217" i="1"/>
  <c r="B1218" i="1"/>
  <c r="B1219" i="1"/>
  <c r="B1220" i="1"/>
  <c r="B1221" i="1"/>
  <c r="B1222" i="1"/>
  <c r="B1223" i="1"/>
  <c r="B1224" i="1"/>
  <c r="B1225" i="1"/>
  <c r="B1226" i="1"/>
  <c r="B1227" i="1"/>
  <c r="B1228" i="1"/>
  <c r="B1229" i="1"/>
  <c r="B1230" i="1"/>
  <c r="B1231" i="1"/>
  <c r="B1232" i="1"/>
  <c r="B1233" i="1"/>
  <c r="B1234" i="1"/>
  <c r="B1235" i="1"/>
  <c r="B1236" i="1"/>
  <c r="B1237" i="1"/>
  <c r="B1238" i="1"/>
  <c r="B1239" i="1"/>
  <c r="B1240" i="1"/>
  <c r="B1241" i="1"/>
  <c r="B1242" i="1"/>
  <c r="B1243" i="1"/>
  <c r="B1244" i="1"/>
  <c r="B1245" i="1"/>
  <c r="B1246" i="1"/>
  <c r="B1247" i="1"/>
  <c r="B1248" i="1"/>
  <c r="B1249" i="1"/>
  <c r="B1250" i="1"/>
  <c r="B1251" i="1"/>
  <c r="B1252" i="1"/>
  <c r="B1253" i="1"/>
  <c r="B1254" i="1"/>
  <c r="B1255" i="1"/>
  <c r="B1256" i="1"/>
  <c r="B1257" i="1"/>
  <c r="B1258" i="1"/>
  <c r="B1259" i="1"/>
  <c r="B1260" i="1"/>
  <c r="B1261" i="1"/>
  <c r="B1262" i="1"/>
  <c r="B1263" i="1"/>
  <c r="B1264" i="1"/>
  <c r="B1265" i="1"/>
  <c r="B1266" i="1"/>
  <c r="B1267" i="1"/>
  <c r="B1268" i="1"/>
  <c r="B1269" i="1"/>
  <c r="B1270" i="1"/>
  <c r="B1271" i="1"/>
  <c r="B1272" i="1"/>
  <c r="B1273" i="1"/>
  <c r="B1274" i="1"/>
  <c r="B1275" i="1"/>
  <c r="B1276" i="1"/>
  <c r="B1277" i="1"/>
  <c r="B1278" i="1"/>
  <c r="B1279" i="1"/>
  <c r="B1280" i="1"/>
  <c r="B1281" i="1"/>
  <c r="B1282" i="1"/>
  <c r="B1283" i="1"/>
  <c r="B1284" i="1"/>
  <c r="B1285" i="1"/>
  <c r="B1286" i="1"/>
  <c r="B1287" i="1"/>
  <c r="B1288" i="1"/>
  <c r="B1289" i="1"/>
  <c r="B1290" i="1"/>
  <c r="B1291" i="1"/>
  <c r="B1292" i="1"/>
  <c r="B1293" i="1"/>
  <c r="B1294" i="1"/>
  <c r="B1295" i="1"/>
  <c r="B1296" i="1"/>
  <c r="B1297" i="1"/>
  <c r="B1298" i="1"/>
  <c r="B1299" i="1"/>
  <c r="B1300" i="1"/>
  <c r="B1301" i="1"/>
  <c r="B1302" i="1"/>
  <c r="B1303" i="1"/>
  <c r="B1304" i="1"/>
  <c r="B1305" i="1"/>
  <c r="B1306" i="1"/>
  <c r="B1307" i="1"/>
  <c r="B1308" i="1"/>
  <c r="B1309" i="1"/>
  <c r="B1310" i="1"/>
  <c r="B1311" i="1"/>
  <c r="B1312" i="1"/>
  <c r="B1313" i="1"/>
  <c r="B1314" i="1"/>
  <c r="B1315" i="1"/>
  <c r="B1316" i="1"/>
  <c r="B1317" i="1"/>
  <c r="B1318" i="1"/>
  <c r="B1319" i="1"/>
  <c r="B1320" i="1"/>
  <c r="B1321" i="1"/>
  <c r="B1322" i="1"/>
  <c r="B1323" i="1"/>
  <c r="B1324" i="1"/>
  <c r="B1325" i="1"/>
  <c r="B1326" i="1"/>
  <c r="B1327" i="1"/>
  <c r="B1328" i="1"/>
  <c r="B1329" i="1"/>
  <c r="B1330" i="1"/>
  <c r="B1331" i="1"/>
  <c r="B1332" i="1"/>
  <c r="B1333" i="1"/>
  <c r="B1334" i="1"/>
  <c r="B1335" i="1"/>
  <c r="B1336" i="1"/>
  <c r="B1337" i="1"/>
  <c r="B1338" i="1"/>
  <c r="B1339" i="1"/>
  <c r="B1340" i="1"/>
  <c r="B1341" i="1"/>
  <c r="B1342" i="1"/>
  <c r="B1343" i="1"/>
  <c r="B1344" i="1"/>
  <c r="B1345" i="1"/>
  <c r="B1346" i="1"/>
  <c r="B1347" i="1"/>
  <c r="B1348" i="1"/>
  <c r="B1349" i="1"/>
  <c r="B1350" i="1"/>
  <c r="B1351" i="1"/>
  <c r="B1352" i="1"/>
  <c r="B1353" i="1"/>
  <c r="B1354" i="1"/>
  <c r="B1355" i="1"/>
  <c r="B1356" i="1"/>
  <c r="B1357" i="1"/>
  <c r="B1358" i="1"/>
  <c r="B1359" i="1"/>
  <c r="B1360" i="1"/>
  <c r="B1361" i="1"/>
  <c r="B1362" i="1"/>
  <c r="B1363" i="1"/>
  <c r="B1364" i="1"/>
  <c r="B1365" i="1"/>
  <c r="B1366" i="1"/>
  <c r="B1367" i="1"/>
  <c r="B1368" i="1"/>
  <c r="B1369" i="1"/>
  <c r="B1370" i="1"/>
  <c r="B1371" i="1"/>
  <c r="B1372" i="1"/>
  <c r="B1373" i="1"/>
  <c r="B1374" i="1"/>
  <c r="B1375" i="1"/>
  <c r="B1376" i="1"/>
  <c r="B1377" i="1"/>
  <c r="B1378" i="1"/>
  <c r="B1379" i="1"/>
  <c r="B1380" i="1"/>
  <c r="B1381" i="1"/>
  <c r="B1382" i="1"/>
  <c r="B1383" i="1"/>
  <c r="B1384" i="1"/>
  <c r="B1385" i="1"/>
  <c r="B1386" i="1"/>
  <c r="B1387" i="1"/>
  <c r="B1388" i="1"/>
  <c r="B1389" i="1"/>
  <c r="B1390" i="1"/>
  <c r="B1391" i="1"/>
  <c r="B1392" i="1"/>
  <c r="B1393" i="1"/>
  <c r="B1394" i="1"/>
  <c r="B1395" i="1"/>
  <c r="B1396" i="1"/>
  <c r="B1397" i="1"/>
  <c r="B1398" i="1"/>
  <c r="B1399" i="1"/>
  <c r="B1400" i="1"/>
  <c r="B1401" i="1"/>
  <c r="B1402" i="1"/>
  <c r="B1403" i="1"/>
  <c r="B1404" i="1"/>
  <c r="B1405" i="1"/>
  <c r="B1406" i="1"/>
  <c r="B1407" i="1"/>
  <c r="B1408" i="1"/>
  <c r="B1409" i="1"/>
  <c r="B1410" i="1"/>
  <c r="B1411" i="1"/>
  <c r="B1412" i="1"/>
  <c r="B1413" i="1"/>
  <c r="B1414" i="1"/>
  <c r="B1415" i="1"/>
  <c r="B1416" i="1"/>
  <c r="B1417" i="1"/>
  <c r="B1418" i="1"/>
  <c r="B1419" i="1"/>
  <c r="B1420" i="1"/>
  <c r="B1421" i="1"/>
  <c r="B1422" i="1"/>
  <c r="B1423" i="1"/>
  <c r="B1424" i="1"/>
  <c r="B1425" i="1"/>
  <c r="B1426" i="1"/>
  <c r="B1427" i="1"/>
  <c r="B1428" i="1"/>
  <c r="B1429" i="1"/>
  <c r="B1430" i="1"/>
  <c r="B1431" i="1"/>
  <c r="B1432" i="1"/>
  <c r="B1433" i="1"/>
  <c r="B1434" i="1"/>
  <c r="B1435" i="1"/>
  <c r="B1436" i="1"/>
  <c r="B1437" i="1"/>
  <c r="B1438" i="1"/>
  <c r="B1439" i="1"/>
  <c r="B1440" i="1"/>
  <c r="B1441" i="1"/>
  <c r="B1442" i="1"/>
  <c r="B1443" i="1"/>
  <c r="B1444" i="1"/>
  <c r="B1445" i="1"/>
  <c r="B1446" i="1"/>
  <c r="B1447" i="1"/>
  <c r="B1448" i="1"/>
  <c r="B1449" i="1"/>
  <c r="B1450" i="1"/>
  <c r="B1451" i="1"/>
  <c r="B1452" i="1"/>
  <c r="B1453" i="1"/>
  <c r="B1454" i="1"/>
  <c r="B1455" i="1"/>
  <c r="B1456" i="1"/>
  <c r="B1457" i="1"/>
  <c r="B1458" i="1"/>
  <c r="B1459" i="1"/>
  <c r="B1460" i="1"/>
  <c r="B1461" i="1"/>
  <c r="B1462" i="1"/>
  <c r="B1463" i="1"/>
  <c r="B1464" i="1"/>
  <c r="B1465" i="1"/>
  <c r="B1466" i="1"/>
  <c r="B1467" i="1"/>
  <c r="B1468" i="1"/>
  <c r="B1469" i="1"/>
  <c r="B1470" i="1"/>
  <c r="B1471" i="1"/>
  <c r="B1472" i="1"/>
  <c r="B1473" i="1"/>
  <c r="B1474" i="1"/>
  <c r="B1475" i="1"/>
  <c r="B1476" i="1"/>
  <c r="B1477" i="1"/>
  <c r="B1478" i="1"/>
  <c r="B1479" i="1"/>
  <c r="B1480" i="1"/>
  <c r="B1481" i="1"/>
  <c r="B1482" i="1"/>
  <c r="B1483" i="1"/>
  <c r="B1484" i="1"/>
  <c r="B1485" i="1"/>
  <c r="B1486" i="1"/>
  <c r="B1487" i="1"/>
  <c r="B1488" i="1"/>
  <c r="B1489" i="1"/>
  <c r="B1490" i="1"/>
  <c r="B1491" i="1"/>
  <c r="B1492" i="1"/>
  <c r="B1493" i="1"/>
  <c r="B1494" i="1"/>
  <c r="B1495" i="1"/>
  <c r="B1496" i="1"/>
  <c r="B1497" i="1"/>
  <c r="B1498" i="1"/>
  <c r="B1499" i="1"/>
  <c r="B1500" i="1"/>
  <c r="B1501" i="1"/>
  <c r="B1502" i="1"/>
  <c r="B1503" i="1"/>
  <c r="B1504" i="1"/>
  <c r="B1505" i="1"/>
  <c r="B1506" i="1"/>
  <c r="B1507" i="1"/>
  <c r="B1508" i="1"/>
  <c r="B1509" i="1"/>
  <c r="B1510" i="1"/>
  <c r="B1511" i="1"/>
  <c r="B1512" i="1"/>
  <c r="B1513" i="1"/>
  <c r="B1514" i="1"/>
  <c r="B1515" i="1"/>
  <c r="B1516" i="1"/>
  <c r="B1517" i="1"/>
  <c r="B1518" i="1"/>
  <c r="B1519" i="1"/>
  <c r="B1520" i="1"/>
  <c r="B1521" i="1"/>
  <c r="B1522" i="1"/>
  <c r="B1523" i="1"/>
  <c r="B1524" i="1"/>
  <c r="B1525" i="1"/>
  <c r="B1526" i="1"/>
  <c r="B1527" i="1"/>
  <c r="B1528" i="1"/>
  <c r="B1529" i="1"/>
  <c r="B1530" i="1"/>
  <c r="B1531" i="1"/>
  <c r="B1532" i="1"/>
  <c r="B1533" i="1"/>
  <c r="B1534" i="1"/>
  <c r="B1535" i="1"/>
  <c r="B1536" i="1"/>
  <c r="B1537" i="1"/>
  <c r="B1538" i="1"/>
  <c r="B1539" i="1"/>
  <c r="B1540" i="1"/>
  <c r="B1541" i="1"/>
  <c r="B1542" i="1"/>
  <c r="B1543" i="1"/>
  <c r="B1544" i="1"/>
  <c r="B1545" i="1"/>
  <c r="B1546" i="1"/>
  <c r="B1547" i="1"/>
  <c r="B1548" i="1"/>
  <c r="B1549" i="1"/>
  <c r="B1550" i="1"/>
  <c r="B1551" i="1"/>
  <c r="B1552" i="1"/>
  <c r="B1553" i="1"/>
  <c r="B1554" i="1"/>
  <c r="B1555" i="1"/>
  <c r="B1556" i="1"/>
  <c r="B1557" i="1"/>
  <c r="B1558" i="1"/>
  <c r="B1559" i="1"/>
  <c r="B1560" i="1"/>
  <c r="B1561" i="1"/>
  <c r="B1562" i="1"/>
  <c r="B1563" i="1"/>
  <c r="B1564" i="1"/>
  <c r="B1565" i="1"/>
  <c r="B1566" i="1"/>
  <c r="B1567" i="1"/>
  <c r="B1568" i="1"/>
  <c r="B1569" i="1"/>
  <c r="B1570" i="1"/>
  <c r="B1571" i="1"/>
  <c r="B1572" i="1"/>
  <c r="B1573" i="1"/>
  <c r="B1574" i="1"/>
  <c r="B1575" i="1"/>
  <c r="B1576" i="1"/>
  <c r="B1577" i="1"/>
  <c r="B1578" i="1"/>
  <c r="B1579" i="1"/>
  <c r="B1580" i="1"/>
  <c r="B1581" i="1"/>
  <c r="B1582" i="1"/>
  <c r="B1583" i="1"/>
  <c r="B1584" i="1"/>
  <c r="B1585" i="1"/>
  <c r="B1586" i="1"/>
  <c r="B1587" i="1"/>
  <c r="B1588" i="1"/>
  <c r="B1589" i="1"/>
  <c r="B1590" i="1"/>
  <c r="B1591" i="1"/>
  <c r="B1592" i="1"/>
  <c r="B1593" i="1"/>
  <c r="B1594" i="1"/>
  <c r="B1595" i="1"/>
  <c r="B1596" i="1"/>
  <c r="B1597" i="1"/>
  <c r="B1598" i="1"/>
  <c r="B1599" i="1"/>
  <c r="B1600" i="1"/>
  <c r="B1601" i="1"/>
  <c r="B1602" i="1"/>
  <c r="B1603" i="1"/>
  <c r="B1604" i="1"/>
  <c r="B1605" i="1"/>
  <c r="B1606" i="1"/>
  <c r="B1607" i="1"/>
  <c r="B1608" i="1"/>
  <c r="B1609" i="1"/>
  <c r="B1610" i="1"/>
  <c r="B1611" i="1"/>
  <c r="B1612" i="1"/>
  <c r="B1613" i="1"/>
  <c r="B1614" i="1"/>
  <c r="B1615" i="1"/>
  <c r="B1616" i="1"/>
  <c r="B1617" i="1"/>
  <c r="B1618" i="1"/>
  <c r="B1619" i="1"/>
  <c r="B1620" i="1"/>
  <c r="B1621" i="1"/>
  <c r="B1622" i="1"/>
  <c r="B1623" i="1"/>
  <c r="B1624" i="1"/>
  <c r="B1625" i="1"/>
  <c r="B1626" i="1"/>
  <c r="B1627" i="1"/>
  <c r="B1628" i="1"/>
  <c r="B1629" i="1"/>
  <c r="B1630" i="1"/>
  <c r="B1631" i="1"/>
  <c r="B1632" i="1"/>
  <c r="B1633" i="1"/>
  <c r="B1634" i="1"/>
  <c r="B1635" i="1"/>
  <c r="B1636" i="1"/>
  <c r="B1637" i="1"/>
  <c r="B1638" i="1"/>
  <c r="B1639" i="1"/>
  <c r="B1640" i="1"/>
  <c r="B1641" i="1"/>
  <c r="B1642" i="1"/>
  <c r="B1643" i="1"/>
  <c r="B1644" i="1"/>
  <c r="B1645" i="1"/>
  <c r="B1646" i="1"/>
  <c r="B1647" i="1"/>
  <c r="B1648" i="1"/>
  <c r="B1649" i="1"/>
  <c r="B1650" i="1"/>
  <c r="B1651" i="1"/>
  <c r="B1652" i="1"/>
  <c r="B1653" i="1"/>
  <c r="B1654" i="1"/>
  <c r="B1655" i="1"/>
  <c r="B1656" i="1"/>
  <c r="B1657" i="1"/>
  <c r="B1658" i="1"/>
  <c r="B1659" i="1"/>
  <c r="B1660" i="1"/>
  <c r="B1661" i="1"/>
  <c r="B1662" i="1"/>
  <c r="B1663" i="1"/>
  <c r="B1664" i="1"/>
  <c r="B1665" i="1"/>
  <c r="B1666" i="1"/>
  <c r="B1667" i="1"/>
  <c r="B1668" i="1"/>
  <c r="B1669" i="1"/>
  <c r="B1670" i="1"/>
  <c r="B1671" i="1"/>
  <c r="B1672" i="1"/>
  <c r="B1673" i="1"/>
  <c r="B1674" i="1"/>
  <c r="B1675" i="1"/>
  <c r="B1676" i="1"/>
  <c r="B1677" i="1"/>
  <c r="B1678" i="1"/>
  <c r="B1679" i="1"/>
  <c r="B1680" i="1"/>
  <c r="B1681" i="1"/>
  <c r="B1682" i="1"/>
  <c r="B1683" i="1"/>
  <c r="B1684" i="1"/>
  <c r="B1685" i="1"/>
  <c r="B1686" i="1"/>
  <c r="B1687" i="1"/>
  <c r="B1688" i="1"/>
  <c r="B1689" i="1"/>
  <c r="B1690" i="1"/>
  <c r="B1691" i="1"/>
  <c r="B1692" i="1"/>
  <c r="B1693" i="1"/>
  <c r="B1694" i="1"/>
  <c r="B1695" i="1"/>
  <c r="B1696" i="1"/>
  <c r="B1697" i="1"/>
  <c r="B1698" i="1"/>
  <c r="B1699" i="1"/>
  <c r="B1700" i="1"/>
  <c r="B1701" i="1"/>
  <c r="B1702" i="1"/>
  <c r="B1703" i="1"/>
  <c r="B1704" i="1"/>
  <c r="B1705" i="1"/>
  <c r="B1706" i="1"/>
  <c r="B1707" i="1"/>
  <c r="B1708" i="1"/>
  <c r="B1709" i="1"/>
  <c r="B1710" i="1"/>
  <c r="B1711" i="1"/>
  <c r="B1712" i="1"/>
  <c r="B1713" i="1"/>
  <c r="B1714" i="1"/>
  <c r="B1715" i="1"/>
  <c r="B1716" i="1"/>
  <c r="B1717" i="1"/>
  <c r="B1718" i="1"/>
  <c r="B1719" i="1"/>
  <c r="B1720" i="1"/>
  <c r="B1721" i="1"/>
  <c r="B1722" i="1"/>
  <c r="B1723" i="1"/>
  <c r="B1724" i="1"/>
  <c r="B1725" i="1"/>
  <c r="B1726" i="1"/>
  <c r="B1727" i="1"/>
  <c r="B1728" i="1"/>
  <c r="B1729" i="1"/>
  <c r="B1730" i="1"/>
  <c r="B1731" i="1"/>
  <c r="B1732" i="1"/>
  <c r="B1733" i="1"/>
  <c r="B1734" i="1"/>
  <c r="B1735" i="1"/>
  <c r="B1736" i="1"/>
  <c r="B1737" i="1"/>
  <c r="B1738" i="1"/>
  <c r="B1739" i="1"/>
  <c r="B1740" i="1"/>
  <c r="B1741" i="1"/>
  <c r="B1742" i="1"/>
  <c r="B1743" i="1"/>
  <c r="B1744" i="1"/>
  <c r="B1745" i="1"/>
  <c r="B1746" i="1"/>
  <c r="B1747" i="1"/>
  <c r="B1748" i="1"/>
  <c r="B1749" i="1"/>
  <c r="B1750" i="1"/>
  <c r="B1751" i="1"/>
  <c r="B1752" i="1"/>
  <c r="B1753" i="1"/>
  <c r="B1754" i="1"/>
  <c r="B1755" i="1"/>
  <c r="B1756" i="1"/>
  <c r="B1757" i="1"/>
  <c r="B1758" i="1"/>
  <c r="B1759" i="1"/>
  <c r="B1760" i="1"/>
  <c r="B1761" i="1"/>
  <c r="B1762" i="1"/>
  <c r="B1763" i="1"/>
  <c r="B1764" i="1"/>
  <c r="B1765" i="1"/>
  <c r="B1766" i="1"/>
  <c r="B1767" i="1"/>
  <c r="B1768" i="1"/>
  <c r="B1769" i="1"/>
  <c r="B1770" i="1"/>
  <c r="B1771" i="1"/>
  <c r="B1772" i="1"/>
  <c r="B1773" i="1"/>
  <c r="B1774" i="1"/>
  <c r="B1775" i="1"/>
  <c r="B1776" i="1"/>
  <c r="B1777" i="1"/>
  <c r="B1778" i="1"/>
  <c r="B1779" i="1"/>
  <c r="B1780" i="1"/>
  <c r="B1781" i="1"/>
  <c r="B1782" i="1"/>
  <c r="B1783" i="1"/>
  <c r="B1784" i="1"/>
  <c r="B1785" i="1"/>
  <c r="B1786" i="1"/>
  <c r="B1787" i="1"/>
  <c r="B1788" i="1"/>
  <c r="B1789" i="1"/>
  <c r="B1790" i="1"/>
  <c r="B1791" i="1"/>
  <c r="B1792" i="1"/>
  <c r="B1793" i="1"/>
  <c r="B1794" i="1"/>
  <c r="B1795" i="1"/>
  <c r="B1796" i="1"/>
  <c r="B1797" i="1"/>
  <c r="B1798" i="1"/>
  <c r="B1799" i="1"/>
  <c r="B1800" i="1"/>
  <c r="B1801" i="1"/>
  <c r="B1802" i="1"/>
  <c r="B1803" i="1"/>
  <c r="B1804" i="1"/>
  <c r="B1805" i="1"/>
  <c r="B1806" i="1"/>
  <c r="B1807" i="1"/>
  <c r="B1808" i="1"/>
  <c r="B1809" i="1"/>
  <c r="B1810" i="1"/>
  <c r="B1811" i="1"/>
  <c r="B1812" i="1"/>
  <c r="B1813" i="1"/>
  <c r="B1814" i="1"/>
  <c r="B1815" i="1"/>
  <c r="B1816" i="1"/>
  <c r="B1817" i="1"/>
  <c r="B1818" i="1"/>
  <c r="B1819" i="1"/>
  <c r="B1820" i="1"/>
  <c r="B1821" i="1"/>
  <c r="B1822" i="1"/>
  <c r="B1823" i="1"/>
  <c r="B1824" i="1"/>
  <c r="B1825" i="1"/>
  <c r="B1826" i="1"/>
  <c r="B1827" i="1"/>
  <c r="B1828" i="1"/>
  <c r="B1829" i="1"/>
  <c r="B1830" i="1"/>
  <c r="B1831" i="1"/>
  <c r="B1832" i="1"/>
  <c r="B1833" i="1"/>
  <c r="B1834" i="1"/>
  <c r="B1835" i="1"/>
  <c r="B1836" i="1"/>
  <c r="B1837" i="1"/>
  <c r="B1838" i="1"/>
  <c r="B1839" i="1"/>
  <c r="B1840" i="1"/>
  <c r="B1841" i="1"/>
  <c r="B1842" i="1"/>
  <c r="B1843" i="1"/>
  <c r="B1844" i="1"/>
  <c r="B1845" i="1"/>
  <c r="B1846" i="1"/>
  <c r="B1847" i="1"/>
  <c r="B1848" i="1"/>
  <c r="B1849" i="1"/>
  <c r="B1850" i="1"/>
  <c r="B1851" i="1"/>
  <c r="B1852" i="1"/>
  <c r="B1853" i="1"/>
  <c r="B1854" i="1"/>
  <c r="B1855" i="1"/>
  <c r="B1856" i="1"/>
  <c r="B1857" i="1"/>
  <c r="B1858" i="1"/>
  <c r="B1859" i="1"/>
  <c r="B1860" i="1"/>
  <c r="B1861" i="1"/>
  <c r="B1862" i="1"/>
  <c r="B1863" i="1"/>
  <c r="B1864" i="1"/>
  <c r="B1865" i="1"/>
  <c r="B1866" i="1"/>
  <c r="B1867" i="1"/>
  <c r="B1868" i="1"/>
  <c r="B1869" i="1"/>
  <c r="B1870" i="1"/>
  <c r="B1871" i="1"/>
  <c r="B1872" i="1"/>
  <c r="B1873" i="1"/>
  <c r="B1874" i="1"/>
  <c r="B1875" i="1"/>
  <c r="B1876" i="1"/>
  <c r="B1877" i="1"/>
  <c r="B1878" i="1"/>
  <c r="B1879" i="1"/>
  <c r="B1880" i="1"/>
  <c r="B1881" i="1"/>
  <c r="B1882" i="1"/>
  <c r="B1883" i="1"/>
  <c r="B1884" i="1"/>
  <c r="B1885" i="1"/>
  <c r="B1886" i="1"/>
  <c r="B1887" i="1"/>
  <c r="B1888" i="1"/>
  <c r="B1889" i="1"/>
  <c r="B1890" i="1"/>
  <c r="B1891" i="1"/>
  <c r="B1892" i="1"/>
  <c r="B1893" i="1"/>
  <c r="B1894" i="1"/>
  <c r="B1895" i="1"/>
  <c r="B1896" i="1"/>
  <c r="B1897" i="1"/>
  <c r="B1898" i="1"/>
  <c r="B1899" i="1"/>
  <c r="B1900" i="1"/>
  <c r="B1901" i="1"/>
  <c r="B1902" i="1"/>
  <c r="B1903" i="1"/>
  <c r="B1904" i="1"/>
  <c r="B1905" i="1"/>
  <c r="B1906" i="1"/>
  <c r="B1907" i="1"/>
  <c r="B1908" i="1"/>
  <c r="B1909" i="1"/>
  <c r="B1910" i="1"/>
  <c r="B1911" i="1"/>
  <c r="B1912" i="1"/>
  <c r="B1913" i="1"/>
  <c r="B1914" i="1"/>
  <c r="B1915" i="1"/>
  <c r="B1916" i="1"/>
  <c r="B1917" i="1"/>
  <c r="B1918" i="1"/>
  <c r="B1919" i="1"/>
  <c r="B1920" i="1"/>
  <c r="B1921" i="1"/>
  <c r="B1922" i="1"/>
  <c r="B1923" i="1"/>
  <c r="B1924" i="1"/>
  <c r="B1925" i="1"/>
  <c r="B1926" i="1"/>
  <c r="B1927" i="1"/>
  <c r="B1928" i="1"/>
  <c r="B1929" i="1"/>
  <c r="B1930" i="1"/>
  <c r="B1931" i="1"/>
  <c r="B1932" i="1"/>
  <c r="B1933" i="1"/>
  <c r="B1934" i="1"/>
  <c r="B1935" i="1"/>
  <c r="B1936" i="1"/>
  <c r="B1937" i="1"/>
  <c r="B1938" i="1"/>
  <c r="B1939" i="1"/>
  <c r="B1940" i="1"/>
  <c r="B1941" i="1"/>
  <c r="B1942" i="1"/>
  <c r="B1943" i="1"/>
  <c r="B1944" i="1"/>
  <c r="B1945" i="1"/>
  <c r="B1946" i="1"/>
  <c r="B1947" i="1"/>
  <c r="B1948" i="1"/>
  <c r="B1949" i="1"/>
  <c r="B1950" i="1"/>
  <c r="B1951" i="1"/>
  <c r="B1952" i="1"/>
  <c r="B1953" i="1"/>
  <c r="B1954" i="1"/>
  <c r="B1955" i="1"/>
  <c r="B1956" i="1"/>
  <c r="B1957" i="1"/>
  <c r="B1958" i="1"/>
  <c r="B1959" i="1"/>
  <c r="B1960" i="1"/>
  <c r="B1961" i="1"/>
  <c r="B1962" i="1"/>
  <c r="B1963" i="1"/>
  <c r="B1964" i="1"/>
  <c r="B1965" i="1"/>
  <c r="B1966" i="1"/>
  <c r="B1967" i="1"/>
  <c r="B1968" i="1"/>
  <c r="B1969" i="1"/>
  <c r="B1970" i="1"/>
  <c r="B1971" i="1"/>
  <c r="B1972" i="1"/>
  <c r="B1973" i="1"/>
  <c r="B1974" i="1"/>
  <c r="B1975" i="1"/>
  <c r="B1976" i="1"/>
  <c r="B1977" i="1"/>
  <c r="B1978" i="1"/>
  <c r="B1979" i="1"/>
  <c r="B1980" i="1"/>
  <c r="B1981" i="1"/>
  <c r="B1982" i="1"/>
  <c r="B1983" i="1"/>
  <c r="B1984" i="1"/>
  <c r="B1985" i="1"/>
  <c r="B1986" i="1"/>
  <c r="B1987" i="1"/>
  <c r="B1988" i="1"/>
  <c r="B1989" i="1"/>
  <c r="B1990" i="1"/>
  <c r="B1991" i="1"/>
  <c r="B1992" i="1"/>
  <c r="B1993" i="1"/>
  <c r="B1994" i="1"/>
  <c r="B1995" i="1"/>
  <c r="B1996" i="1"/>
  <c r="B1997" i="1"/>
  <c r="B1998" i="1"/>
  <c r="B1999" i="1"/>
  <c r="B2000" i="1"/>
  <c r="B2001" i="1"/>
  <c r="B2002" i="1"/>
  <c r="B2003" i="1"/>
  <c r="B2004" i="1"/>
  <c r="B2005" i="1"/>
  <c r="B2006" i="1"/>
  <c r="B2007" i="1"/>
  <c r="B2008" i="1"/>
  <c r="B2009" i="1"/>
  <c r="B2010" i="1"/>
  <c r="B2011" i="1"/>
  <c r="B2012" i="1"/>
  <c r="B2013" i="1"/>
  <c r="B2014" i="1"/>
  <c r="B2015" i="1"/>
  <c r="B2016" i="1"/>
  <c r="B2017" i="1"/>
  <c r="B2018" i="1"/>
  <c r="B2019" i="1"/>
  <c r="B2020" i="1"/>
  <c r="B2021" i="1"/>
  <c r="B2022" i="1"/>
  <c r="B2023" i="1"/>
  <c r="B2024" i="1"/>
  <c r="B2025" i="1"/>
  <c r="B2026" i="1"/>
  <c r="B2027" i="1"/>
  <c r="B2028" i="1"/>
  <c r="B2029" i="1"/>
  <c r="B2030" i="1"/>
  <c r="B2031" i="1"/>
  <c r="B2032" i="1"/>
  <c r="B2033" i="1"/>
  <c r="B2034" i="1"/>
  <c r="B2035" i="1"/>
  <c r="B2036" i="1"/>
  <c r="B2037" i="1"/>
  <c r="B2038" i="1"/>
  <c r="B2039" i="1"/>
  <c r="B2040" i="1"/>
  <c r="B2041" i="1"/>
  <c r="B2042" i="1"/>
  <c r="B2043" i="1"/>
  <c r="B2044" i="1"/>
  <c r="B2045" i="1"/>
  <c r="B2046" i="1"/>
  <c r="B2047" i="1"/>
  <c r="B2048" i="1"/>
  <c r="B2049" i="1"/>
  <c r="B2050" i="1"/>
  <c r="B2051" i="1"/>
  <c r="B2052" i="1"/>
  <c r="B2053" i="1"/>
  <c r="B2054" i="1"/>
  <c r="B2055" i="1"/>
  <c r="B2056" i="1"/>
  <c r="B2057" i="1"/>
  <c r="B2058" i="1"/>
  <c r="B2059" i="1"/>
  <c r="B2060" i="1"/>
  <c r="B2061" i="1"/>
  <c r="B2062" i="1"/>
  <c r="B2063" i="1"/>
  <c r="B2064" i="1"/>
  <c r="B2065" i="1"/>
  <c r="B2066" i="1"/>
  <c r="B2067" i="1"/>
  <c r="B2068" i="1"/>
  <c r="B2069" i="1"/>
  <c r="B2070" i="1"/>
  <c r="B2071" i="1"/>
  <c r="B2072" i="1"/>
  <c r="B2073" i="1"/>
  <c r="B2074" i="1"/>
  <c r="B2075" i="1"/>
  <c r="B2076" i="1"/>
  <c r="B2077" i="1"/>
  <c r="B2078" i="1"/>
  <c r="B2079" i="1"/>
  <c r="B2080" i="1"/>
  <c r="B2081" i="1"/>
  <c r="B2082" i="1"/>
  <c r="B2083" i="1"/>
  <c r="B2084" i="1"/>
  <c r="B2085" i="1"/>
  <c r="B2086" i="1"/>
  <c r="B2087" i="1"/>
  <c r="B2088" i="1"/>
  <c r="B2089" i="1"/>
  <c r="B2090" i="1"/>
  <c r="B2091" i="1"/>
  <c r="B2092" i="1"/>
  <c r="B2093" i="1"/>
  <c r="B2094" i="1"/>
  <c r="B2095" i="1"/>
  <c r="B2096" i="1"/>
  <c r="B2097" i="1"/>
  <c r="B2098" i="1"/>
  <c r="B2099" i="1"/>
  <c r="B2100" i="1"/>
  <c r="B2101" i="1"/>
  <c r="B2102" i="1"/>
  <c r="B2103" i="1"/>
  <c r="B2104" i="1"/>
  <c r="B2105" i="1"/>
  <c r="B2106" i="1"/>
  <c r="B2107" i="1"/>
  <c r="B2108" i="1"/>
  <c r="B2109" i="1"/>
  <c r="B2110" i="1"/>
  <c r="B2111" i="1"/>
  <c r="B2112" i="1"/>
  <c r="B2113" i="1"/>
  <c r="B2114" i="1"/>
  <c r="B2115" i="1"/>
  <c r="B2116" i="1"/>
  <c r="B2117" i="1"/>
  <c r="B2118" i="1"/>
  <c r="B2119" i="1"/>
  <c r="B2120" i="1"/>
  <c r="B2121" i="1"/>
  <c r="B2122" i="1"/>
  <c r="B2123" i="1"/>
  <c r="B2124" i="1"/>
  <c r="B2125" i="1"/>
  <c r="B2126" i="1"/>
  <c r="B2127" i="1"/>
  <c r="B2128" i="1"/>
  <c r="B2129" i="1"/>
  <c r="B2130" i="1"/>
  <c r="B2131" i="1"/>
  <c r="B2132" i="1"/>
  <c r="B2133" i="1"/>
  <c r="B2134" i="1"/>
  <c r="B2135" i="1"/>
  <c r="B2136" i="1"/>
  <c r="B2137" i="1"/>
  <c r="B2138" i="1"/>
  <c r="B2139" i="1"/>
  <c r="B2140" i="1"/>
  <c r="B2141" i="1"/>
  <c r="B2142" i="1"/>
  <c r="B2143" i="1"/>
  <c r="B2144" i="1"/>
  <c r="B2145" i="1"/>
  <c r="B2146" i="1"/>
  <c r="B2147" i="1"/>
  <c r="B2148" i="1"/>
  <c r="B2149" i="1"/>
  <c r="B2150" i="1"/>
  <c r="B2151" i="1"/>
  <c r="B2152" i="1"/>
  <c r="B2153" i="1"/>
  <c r="B2154" i="1"/>
  <c r="B2155" i="1"/>
  <c r="B2156" i="1"/>
  <c r="B2157" i="1"/>
  <c r="B2158" i="1"/>
  <c r="B2159" i="1"/>
  <c r="B2160" i="1"/>
  <c r="B2161" i="1"/>
  <c r="B2162" i="1"/>
  <c r="B2163" i="1"/>
  <c r="B2164" i="1"/>
  <c r="B2165" i="1"/>
  <c r="B2166" i="1"/>
  <c r="B2167" i="1"/>
  <c r="B2168" i="1"/>
  <c r="B2169" i="1"/>
  <c r="B2170" i="1"/>
  <c r="B2171" i="1"/>
  <c r="B2172" i="1"/>
  <c r="B2173" i="1"/>
  <c r="B2174" i="1"/>
  <c r="B2175" i="1"/>
  <c r="B2176" i="1"/>
  <c r="B2177" i="1"/>
  <c r="B2178" i="1"/>
  <c r="B2179" i="1"/>
  <c r="B2180" i="1"/>
  <c r="B2181" i="1"/>
  <c r="B2182" i="1"/>
  <c r="B2183" i="1"/>
  <c r="B2184" i="1"/>
  <c r="B2185" i="1"/>
  <c r="B2186" i="1"/>
  <c r="B2187" i="1"/>
  <c r="B2188" i="1"/>
  <c r="B2189" i="1"/>
  <c r="B2190" i="1"/>
  <c r="B2191" i="1"/>
  <c r="B2192" i="1"/>
  <c r="B2193" i="1"/>
  <c r="B2194" i="1"/>
  <c r="B2195" i="1"/>
  <c r="B2196" i="1"/>
  <c r="B2197" i="1"/>
  <c r="B2198" i="1"/>
  <c r="B2199" i="1"/>
  <c r="B2200" i="1"/>
  <c r="B2201" i="1"/>
  <c r="B2202" i="1"/>
  <c r="B2203" i="1"/>
  <c r="B2204" i="1"/>
  <c r="B2205" i="1"/>
  <c r="B2206" i="1"/>
  <c r="B2207" i="1"/>
  <c r="B2208" i="1"/>
  <c r="B2209" i="1"/>
  <c r="B2210" i="1"/>
  <c r="B2211" i="1"/>
  <c r="B2212" i="1"/>
  <c r="B2213" i="1"/>
  <c r="B2214" i="1"/>
  <c r="B2215" i="1"/>
  <c r="B2216" i="1"/>
  <c r="B2217" i="1"/>
  <c r="B2218" i="1"/>
  <c r="B2219" i="1"/>
  <c r="B2220" i="1"/>
  <c r="B2221" i="1"/>
  <c r="B2222" i="1"/>
  <c r="B2223" i="1"/>
  <c r="B2224" i="1"/>
  <c r="B2225" i="1"/>
  <c r="B2226" i="1"/>
  <c r="B2227" i="1"/>
  <c r="B2228" i="1"/>
  <c r="B2229" i="1"/>
  <c r="B2230" i="1"/>
  <c r="B2231" i="1"/>
  <c r="B2232" i="1"/>
  <c r="B2233" i="1"/>
  <c r="B2234" i="1"/>
  <c r="B2235" i="1"/>
  <c r="B2236" i="1"/>
  <c r="B2237" i="1"/>
  <c r="B2238" i="1"/>
  <c r="B2239" i="1"/>
  <c r="B2240" i="1"/>
  <c r="B2241" i="1"/>
  <c r="B2242" i="1"/>
  <c r="B2243" i="1"/>
  <c r="B2244" i="1"/>
  <c r="B2245" i="1"/>
  <c r="B2246" i="1"/>
  <c r="B2247" i="1"/>
  <c r="B2248" i="1"/>
  <c r="B2249" i="1"/>
  <c r="B2250" i="1"/>
  <c r="B2251" i="1"/>
  <c r="B2252" i="1"/>
  <c r="B2253" i="1"/>
  <c r="B2254" i="1"/>
  <c r="B2255" i="1"/>
  <c r="B2256" i="1"/>
  <c r="B2257" i="1"/>
  <c r="B2258" i="1"/>
  <c r="B2259" i="1"/>
  <c r="B2260" i="1"/>
  <c r="B2261" i="1"/>
  <c r="B2262" i="1"/>
  <c r="B2263" i="1"/>
  <c r="B2264" i="1"/>
  <c r="B2265" i="1"/>
  <c r="B2266" i="1"/>
  <c r="B2267" i="1"/>
  <c r="B2268" i="1"/>
  <c r="B2269" i="1"/>
  <c r="B2270" i="1"/>
  <c r="B2271" i="1"/>
  <c r="B2272" i="1"/>
  <c r="B2273" i="1"/>
  <c r="B2274" i="1"/>
  <c r="B2275" i="1"/>
  <c r="B2276" i="1"/>
  <c r="B2277" i="1"/>
  <c r="B2278" i="1"/>
  <c r="B2279" i="1"/>
  <c r="B2280" i="1"/>
  <c r="B2281" i="1"/>
  <c r="B2282" i="1"/>
  <c r="B2283" i="1"/>
  <c r="B2284" i="1"/>
  <c r="B2285" i="1"/>
  <c r="B2286" i="1"/>
  <c r="B2287" i="1"/>
  <c r="B2288" i="1"/>
  <c r="B2289" i="1"/>
  <c r="B2290" i="1"/>
  <c r="B2291" i="1"/>
  <c r="B2292" i="1"/>
  <c r="B2293" i="1"/>
  <c r="B2294" i="1"/>
  <c r="B2295" i="1"/>
  <c r="B2296" i="1"/>
  <c r="B2297" i="1"/>
  <c r="B2298" i="1"/>
  <c r="B2299" i="1"/>
  <c r="B2300" i="1"/>
  <c r="B2301" i="1"/>
  <c r="B2302" i="1"/>
  <c r="B2303" i="1"/>
  <c r="B2304" i="1"/>
  <c r="B2305" i="1"/>
  <c r="B2306" i="1"/>
  <c r="B2307" i="1"/>
  <c r="B2308" i="1"/>
  <c r="B2309" i="1"/>
  <c r="B2310" i="1"/>
  <c r="B2311" i="1"/>
  <c r="B2312" i="1"/>
  <c r="B2313" i="1"/>
  <c r="B2314" i="1"/>
  <c r="B2315" i="1"/>
  <c r="B2316" i="1"/>
  <c r="B2317" i="1"/>
  <c r="B2318" i="1"/>
  <c r="B2319" i="1"/>
  <c r="B2320" i="1"/>
  <c r="B2321" i="1"/>
  <c r="B2322" i="1"/>
  <c r="B2323" i="1"/>
  <c r="B2324" i="1"/>
  <c r="B2325" i="1"/>
  <c r="B2326" i="1"/>
  <c r="B2327" i="1"/>
  <c r="B2328" i="1"/>
  <c r="B2329" i="1"/>
  <c r="B2330" i="1"/>
  <c r="B2331" i="1"/>
  <c r="B2332" i="1"/>
  <c r="B2333" i="1"/>
  <c r="B2334" i="1"/>
  <c r="B2335" i="1"/>
  <c r="B2336" i="1"/>
  <c r="B2337" i="1"/>
  <c r="B2338" i="1"/>
  <c r="B2339" i="1"/>
  <c r="B2340" i="1"/>
  <c r="B2341" i="1"/>
  <c r="B2342" i="1"/>
  <c r="B2343" i="1"/>
  <c r="B2344" i="1"/>
  <c r="B2345" i="1"/>
  <c r="B2346" i="1"/>
  <c r="B2347" i="1"/>
  <c r="B2348" i="1"/>
  <c r="B2349" i="1"/>
  <c r="B2350" i="1"/>
  <c r="B2351" i="1"/>
  <c r="B2352" i="1"/>
  <c r="B2353" i="1"/>
  <c r="B2354" i="1"/>
  <c r="B2355" i="1"/>
  <c r="B2356" i="1"/>
  <c r="B2357" i="1"/>
  <c r="B2358" i="1"/>
  <c r="B2359" i="1"/>
  <c r="B2360" i="1"/>
  <c r="B2361" i="1"/>
  <c r="B2362" i="1"/>
  <c r="B2363" i="1"/>
  <c r="B2364" i="1"/>
  <c r="B2365" i="1"/>
  <c r="B2366" i="1"/>
  <c r="B2367" i="1"/>
  <c r="B2368" i="1"/>
  <c r="B2369" i="1"/>
  <c r="B2370" i="1"/>
  <c r="B2371" i="1"/>
  <c r="B2372" i="1"/>
  <c r="B2373" i="1"/>
  <c r="B2374" i="1"/>
  <c r="B2375" i="1"/>
  <c r="B2376" i="1"/>
  <c r="B2377" i="1"/>
  <c r="B2378" i="1"/>
  <c r="B2379" i="1"/>
  <c r="B2380" i="1"/>
  <c r="B2381" i="1"/>
  <c r="B2382" i="1"/>
  <c r="B2383" i="1"/>
  <c r="B2384" i="1"/>
  <c r="B2385" i="1"/>
  <c r="B2386" i="1"/>
  <c r="B2387" i="1"/>
  <c r="B2388" i="1"/>
  <c r="B2389" i="1"/>
  <c r="B2390" i="1"/>
  <c r="B2391" i="1"/>
  <c r="B2392" i="1"/>
  <c r="B2393" i="1"/>
  <c r="B2394" i="1"/>
  <c r="B2395" i="1"/>
  <c r="B2396" i="1"/>
  <c r="B2397" i="1"/>
  <c r="B2398" i="1"/>
  <c r="B2399" i="1"/>
  <c r="B2400" i="1"/>
  <c r="B2401" i="1"/>
  <c r="B2402" i="1"/>
  <c r="B2403" i="1"/>
  <c r="B2404" i="1"/>
  <c r="B2405" i="1"/>
  <c r="B2406" i="1"/>
  <c r="B2407" i="1"/>
  <c r="B2408" i="1"/>
  <c r="B2409" i="1"/>
  <c r="B2410" i="1"/>
  <c r="B2411" i="1"/>
  <c r="B2412" i="1"/>
  <c r="B2413" i="1"/>
  <c r="B2414" i="1"/>
  <c r="B2415" i="1"/>
  <c r="B2416" i="1"/>
  <c r="B2417" i="1"/>
  <c r="B2418" i="1"/>
  <c r="B2419" i="1"/>
  <c r="B2420" i="1"/>
  <c r="B2421" i="1"/>
  <c r="B2422" i="1"/>
  <c r="B2423" i="1"/>
  <c r="B2424" i="1"/>
  <c r="B2425" i="1"/>
  <c r="B2426" i="1"/>
  <c r="B2427" i="1"/>
  <c r="B2428" i="1"/>
  <c r="B2429" i="1"/>
  <c r="B2430" i="1"/>
  <c r="B2431" i="1"/>
  <c r="B2432" i="1"/>
  <c r="B2433" i="1"/>
  <c r="B2434" i="1"/>
  <c r="B2435" i="1"/>
  <c r="B2436" i="1"/>
  <c r="B2437" i="1"/>
  <c r="B2438" i="1"/>
  <c r="B2439" i="1"/>
  <c r="B2440" i="1"/>
  <c r="B2441" i="1"/>
  <c r="B2442" i="1"/>
  <c r="B2443" i="1"/>
  <c r="B2444" i="1"/>
  <c r="B2445" i="1"/>
  <c r="B2446" i="1"/>
  <c r="B2447" i="1"/>
  <c r="B2448" i="1"/>
  <c r="B2449" i="1"/>
  <c r="B2450" i="1"/>
  <c r="B2451" i="1"/>
  <c r="B2452" i="1"/>
  <c r="B2453" i="1"/>
  <c r="B2454" i="1"/>
  <c r="B2455" i="1"/>
  <c r="B2456" i="1"/>
  <c r="B2457" i="1"/>
  <c r="B2458" i="1"/>
  <c r="B2459" i="1"/>
  <c r="B2460" i="1"/>
  <c r="B2461" i="1"/>
  <c r="B2462" i="1"/>
  <c r="B2463" i="1"/>
  <c r="B2464" i="1"/>
  <c r="B2465" i="1"/>
  <c r="B2466" i="1"/>
  <c r="B2467" i="1"/>
  <c r="B2468" i="1"/>
  <c r="B2469" i="1"/>
  <c r="B2470" i="1"/>
  <c r="B2471" i="1"/>
  <c r="B2472" i="1"/>
  <c r="B2473" i="1"/>
  <c r="B2474" i="1"/>
  <c r="B2475" i="1"/>
  <c r="B2476" i="1"/>
  <c r="B2477" i="1"/>
  <c r="B2478" i="1"/>
  <c r="B2479" i="1"/>
  <c r="B2480" i="1"/>
  <c r="B2481" i="1"/>
  <c r="B2482" i="1"/>
  <c r="B2483" i="1"/>
  <c r="B2484" i="1"/>
  <c r="B2485" i="1"/>
  <c r="B2486" i="1"/>
  <c r="B2487" i="1"/>
  <c r="B2488" i="1"/>
  <c r="B2489" i="1"/>
  <c r="B2490" i="1"/>
  <c r="B2491" i="1"/>
  <c r="B2492" i="1"/>
  <c r="B2493" i="1"/>
  <c r="B2494" i="1"/>
  <c r="B2495" i="1"/>
  <c r="B2496" i="1"/>
  <c r="B2497" i="1"/>
  <c r="B2498" i="1"/>
  <c r="B2499" i="1"/>
  <c r="B2500" i="1"/>
  <c r="B2501" i="1"/>
  <c r="B2502" i="1"/>
  <c r="B2503" i="1"/>
  <c r="B2504" i="1"/>
  <c r="B2505" i="1"/>
  <c r="B2506" i="1"/>
  <c r="B2507" i="1"/>
  <c r="B2508" i="1"/>
  <c r="B2509" i="1"/>
  <c r="B2510" i="1"/>
  <c r="B2511" i="1"/>
  <c r="B2512" i="1"/>
  <c r="B2513" i="1"/>
  <c r="B2514" i="1"/>
  <c r="B2515" i="1"/>
  <c r="B2516" i="1"/>
  <c r="B2517" i="1"/>
  <c r="B2518" i="1"/>
  <c r="B2519" i="1"/>
  <c r="B2520" i="1"/>
  <c r="B2521" i="1"/>
  <c r="B2522" i="1"/>
  <c r="B2523" i="1"/>
  <c r="B2524" i="1"/>
  <c r="B2525" i="1"/>
  <c r="B2526" i="1"/>
  <c r="B2527" i="1"/>
  <c r="B2528" i="1"/>
  <c r="B2529" i="1"/>
  <c r="B2530" i="1"/>
  <c r="B2531" i="1"/>
  <c r="B2532" i="1"/>
  <c r="B2533" i="1"/>
  <c r="B2534" i="1"/>
  <c r="B2535" i="1"/>
  <c r="B2536" i="1"/>
  <c r="B2537" i="1"/>
  <c r="B2538" i="1"/>
  <c r="B2539" i="1"/>
  <c r="B2540" i="1"/>
  <c r="B2541" i="1"/>
  <c r="B2542" i="1"/>
  <c r="B2543" i="1"/>
  <c r="B2544" i="1"/>
  <c r="B2545" i="1"/>
  <c r="B2546" i="1"/>
  <c r="B2547" i="1"/>
  <c r="B2548" i="1"/>
  <c r="B2549" i="1"/>
  <c r="B2550" i="1"/>
  <c r="B2551" i="1"/>
  <c r="B2552" i="1"/>
  <c r="B2553" i="1"/>
  <c r="B2554" i="1"/>
  <c r="B2555" i="1"/>
  <c r="B2556" i="1"/>
  <c r="B2557" i="1"/>
  <c r="B2558" i="1"/>
  <c r="B2559" i="1"/>
  <c r="B2560" i="1"/>
  <c r="B2561" i="1"/>
  <c r="B2562" i="1"/>
  <c r="B2563" i="1"/>
  <c r="B2564" i="1"/>
  <c r="B2565" i="1"/>
  <c r="B2566" i="1"/>
  <c r="B2567" i="1"/>
  <c r="B2568" i="1"/>
  <c r="B2569" i="1"/>
  <c r="B2570" i="1"/>
  <c r="B2571" i="1"/>
  <c r="B2572" i="1"/>
  <c r="B2573" i="1"/>
  <c r="B2574" i="1"/>
  <c r="B2575" i="1"/>
  <c r="B2576" i="1"/>
  <c r="B2577" i="1"/>
  <c r="B2578" i="1"/>
  <c r="B2579" i="1"/>
  <c r="B2580" i="1"/>
  <c r="B2581" i="1"/>
  <c r="B2582" i="1"/>
  <c r="B2583" i="1"/>
  <c r="B2584" i="1"/>
  <c r="B2585" i="1"/>
  <c r="B2586" i="1"/>
  <c r="B2587" i="1"/>
  <c r="B2588" i="1"/>
  <c r="B2589" i="1"/>
  <c r="B2590" i="1"/>
  <c r="B2591" i="1"/>
  <c r="B2592" i="1"/>
  <c r="B2593" i="1"/>
  <c r="B2594" i="1"/>
  <c r="B2595" i="1"/>
  <c r="B2596" i="1"/>
  <c r="B2597" i="1"/>
  <c r="B2598" i="1"/>
  <c r="B2599" i="1"/>
  <c r="B2600" i="1"/>
  <c r="B2601" i="1"/>
  <c r="B2602" i="1"/>
  <c r="B2603" i="1"/>
  <c r="B2604" i="1"/>
  <c r="B2605" i="1"/>
  <c r="B2606" i="1"/>
  <c r="B2607" i="1"/>
  <c r="B2608" i="1"/>
  <c r="B2609" i="1"/>
  <c r="B2610" i="1"/>
  <c r="B2611" i="1"/>
  <c r="B2612" i="1"/>
  <c r="B2613" i="1"/>
  <c r="B2614" i="1"/>
  <c r="B2615" i="1"/>
  <c r="B2616" i="1"/>
  <c r="B2617" i="1"/>
  <c r="B2618" i="1"/>
  <c r="B2619" i="1"/>
  <c r="B2620" i="1"/>
  <c r="B2621" i="1"/>
  <c r="B2622" i="1"/>
  <c r="B2623" i="1"/>
  <c r="B2624" i="1"/>
  <c r="B2625" i="1"/>
  <c r="B2626" i="1"/>
  <c r="B2627" i="1"/>
  <c r="B2628" i="1"/>
  <c r="B2629" i="1"/>
  <c r="B2630" i="1"/>
  <c r="B2631" i="1"/>
  <c r="B2632" i="1"/>
  <c r="B2633" i="1"/>
  <c r="B2634" i="1"/>
  <c r="B2635" i="1"/>
  <c r="B2636" i="1"/>
  <c r="B2637" i="1"/>
  <c r="B2638" i="1"/>
  <c r="B2639" i="1"/>
  <c r="B2640" i="1"/>
  <c r="B2641" i="1"/>
  <c r="B2642" i="1"/>
  <c r="B2643" i="1"/>
  <c r="B2644" i="1"/>
  <c r="B2645" i="1"/>
  <c r="B2646" i="1"/>
  <c r="B2647" i="1"/>
  <c r="B2648" i="1"/>
  <c r="B2649" i="1"/>
  <c r="B2650" i="1"/>
  <c r="B2651" i="1"/>
  <c r="B2652" i="1"/>
  <c r="B2653" i="1"/>
  <c r="B2654" i="1"/>
  <c r="B2655" i="1"/>
  <c r="B2656" i="1"/>
  <c r="B2657" i="1"/>
  <c r="B2658" i="1"/>
  <c r="B2659" i="1"/>
  <c r="B2660" i="1"/>
  <c r="B2661" i="1"/>
  <c r="B2662" i="1"/>
  <c r="B2663" i="1"/>
  <c r="B2664" i="1"/>
  <c r="B2665" i="1"/>
  <c r="B2666" i="1"/>
  <c r="B2667" i="1"/>
  <c r="B2668" i="1"/>
  <c r="B2669" i="1"/>
  <c r="B2670" i="1"/>
  <c r="B2671" i="1"/>
  <c r="B2672" i="1"/>
  <c r="B2673" i="1"/>
  <c r="B2674" i="1"/>
  <c r="B2675" i="1"/>
  <c r="B2676" i="1"/>
  <c r="B2677" i="1"/>
  <c r="B2678" i="1"/>
  <c r="B2679" i="1"/>
  <c r="B2680" i="1"/>
  <c r="B2681" i="1"/>
  <c r="B2682" i="1"/>
  <c r="B2683" i="1"/>
  <c r="B2684" i="1"/>
  <c r="B2685" i="1"/>
  <c r="B2686" i="1"/>
  <c r="B2687" i="1"/>
  <c r="B2688" i="1"/>
  <c r="B2689" i="1"/>
  <c r="B2690" i="1"/>
  <c r="B2691" i="1"/>
  <c r="B2692" i="1"/>
  <c r="B2693" i="1"/>
  <c r="B2694" i="1"/>
  <c r="B2695" i="1"/>
  <c r="B2696" i="1"/>
  <c r="B2697" i="1"/>
  <c r="B2698" i="1"/>
  <c r="B2699" i="1"/>
  <c r="B2700" i="1"/>
  <c r="B2701" i="1"/>
  <c r="B2702" i="1"/>
  <c r="B2703" i="1"/>
  <c r="B2704" i="1"/>
  <c r="B2705" i="1"/>
  <c r="B2706" i="1"/>
  <c r="B2707" i="1"/>
  <c r="B2708" i="1"/>
  <c r="B2709" i="1"/>
  <c r="B2710" i="1"/>
  <c r="B2711" i="1"/>
  <c r="B2712" i="1"/>
  <c r="B2713" i="1"/>
  <c r="B2714" i="1"/>
  <c r="B2715" i="1"/>
  <c r="B2716" i="1"/>
  <c r="B2717" i="1"/>
  <c r="B2718" i="1"/>
  <c r="B2719" i="1"/>
  <c r="B2720" i="1"/>
  <c r="B2721" i="1"/>
  <c r="B2722" i="1"/>
  <c r="B2723" i="1"/>
  <c r="B2724" i="1"/>
  <c r="B2725" i="1"/>
  <c r="B2726" i="1"/>
  <c r="B2727" i="1"/>
  <c r="B2728" i="1"/>
  <c r="B2729" i="1"/>
  <c r="B2730" i="1"/>
  <c r="B2731" i="1"/>
  <c r="B2732" i="1"/>
  <c r="B2733" i="1"/>
  <c r="B2734" i="1"/>
  <c r="B2735" i="1"/>
  <c r="B2736" i="1"/>
  <c r="B2737" i="1"/>
  <c r="B2738" i="1"/>
  <c r="B2739" i="1"/>
  <c r="B2740" i="1"/>
  <c r="B2741" i="1"/>
  <c r="B2742" i="1"/>
  <c r="B2743" i="1"/>
  <c r="B2744" i="1"/>
  <c r="B2745" i="1"/>
  <c r="B2746" i="1"/>
  <c r="B2747" i="1"/>
  <c r="B2748" i="1"/>
  <c r="B2749" i="1"/>
  <c r="B2750" i="1"/>
  <c r="B2751" i="1"/>
  <c r="B2752" i="1"/>
  <c r="B2753" i="1"/>
  <c r="B2754" i="1"/>
  <c r="B2755" i="1"/>
  <c r="B2756" i="1"/>
  <c r="B2757" i="1"/>
  <c r="B2758" i="1"/>
  <c r="B2759" i="1"/>
  <c r="B2760" i="1"/>
  <c r="B2761" i="1"/>
  <c r="B2762" i="1"/>
  <c r="B2763" i="1"/>
  <c r="B2764" i="1"/>
  <c r="B2765" i="1"/>
  <c r="B2766" i="1"/>
  <c r="B2767" i="1"/>
  <c r="B2768" i="1"/>
  <c r="B2769" i="1"/>
  <c r="B2770" i="1"/>
  <c r="B2771" i="1"/>
  <c r="B2772" i="1"/>
  <c r="B2773" i="1"/>
  <c r="B2774" i="1"/>
  <c r="B2775" i="1"/>
  <c r="B2776" i="1"/>
  <c r="B2777" i="1"/>
  <c r="B2778" i="1"/>
  <c r="B2779" i="1"/>
  <c r="B2780" i="1"/>
  <c r="B2781" i="1"/>
  <c r="B2782" i="1"/>
  <c r="B2783" i="1"/>
  <c r="B2784" i="1"/>
  <c r="B2785" i="1"/>
  <c r="B2786" i="1"/>
  <c r="B2787" i="1"/>
  <c r="B2788" i="1"/>
  <c r="B2789" i="1"/>
  <c r="B2790" i="1"/>
  <c r="B2791" i="1"/>
  <c r="B2792" i="1"/>
  <c r="B2793" i="1"/>
  <c r="B2794" i="1"/>
  <c r="B2795" i="1"/>
  <c r="B2796" i="1"/>
  <c r="B2797" i="1"/>
  <c r="B2798" i="1"/>
  <c r="B2799" i="1"/>
  <c r="B2800" i="1"/>
  <c r="B2801" i="1"/>
  <c r="B2802" i="1"/>
  <c r="B2803" i="1"/>
  <c r="B2804" i="1"/>
  <c r="B2805" i="1"/>
  <c r="B2806" i="1"/>
  <c r="B2807" i="1"/>
  <c r="B2808" i="1"/>
  <c r="B2809" i="1"/>
  <c r="B2810" i="1"/>
  <c r="B2811" i="1"/>
  <c r="B2812" i="1"/>
  <c r="B2813" i="1"/>
  <c r="B2814" i="1"/>
  <c r="B2815" i="1"/>
  <c r="B2816" i="1"/>
  <c r="B2817" i="1"/>
  <c r="B2818" i="1"/>
  <c r="B2819" i="1"/>
  <c r="B2820" i="1"/>
  <c r="B2821" i="1"/>
  <c r="B2822" i="1"/>
  <c r="B2823" i="1"/>
  <c r="B2824" i="1"/>
  <c r="B2825" i="1"/>
  <c r="B2826" i="1"/>
  <c r="B2827" i="1"/>
  <c r="B2828" i="1"/>
  <c r="B2829" i="1"/>
  <c r="B2830" i="1"/>
  <c r="B2831" i="1"/>
  <c r="B2832" i="1"/>
  <c r="B2833" i="1"/>
  <c r="B2834" i="1"/>
  <c r="B2835" i="1"/>
  <c r="B2836" i="1"/>
  <c r="B2837" i="1"/>
  <c r="B2838" i="1"/>
  <c r="B2839" i="1"/>
  <c r="B2840" i="1"/>
  <c r="B2841" i="1"/>
  <c r="B2842" i="1"/>
  <c r="B2843" i="1"/>
  <c r="B2844" i="1"/>
  <c r="B2845" i="1"/>
  <c r="B2846" i="1"/>
  <c r="B2847" i="1"/>
  <c r="B2848" i="1"/>
  <c r="B2849" i="1"/>
  <c r="B2850" i="1"/>
  <c r="B2851" i="1"/>
  <c r="B2852" i="1"/>
  <c r="B2853" i="1"/>
  <c r="B2854" i="1"/>
  <c r="B2855" i="1"/>
  <c r="B2856" i="1"/>
  <c r="B2857" i="1"/>
  <c r="B2858" i="1"/>
  <c r="B2859" i="1"/>
  <c r="B2860" i="1"/>
  <c r="B2861" i="1"/>
  <c r="B2862" i="1"/>
  <c r="B2863" i="1"/>
  <c r="B2864" i="1"/>
  <c r="B2865" i="1"/>
  <c r="B2866" i="1"/>
  <c r="B2867" i="1"/>
  <c r="B2868" i="1"/>
  <c r="B2869" i="1"/>
  <c r="B2870" i="1"/>
  <c r="B2871" i="1"/>
  <c r="B2872" i="1"/>
  <c r="B2873" i="1"/>
  <c r="B2874" i="1"/>
  <c r="B2875" i="1"/>
  <c r="B2876" i="1"/>
  <c r="B2877" i="1"/>
  <c r="B2878" i="1"/>
  <c r="B2879" i="1"/>
  <c r="B2880" i="1"/>
  <c r="B2881" i="1"/>
  <c r="B2882" i="1"/>
  <c r="B2883" i="1"/>
  <c r="B2884" i="1"/>
  <c r="B2885" i="1"/>
  <c r="B2886" i="1"/>
  <c r="B2887" i="1"/>
  <c r="B2888" i="1"/>
  <c r="B2889" i="1"/>
  <c r="B2890" i="1"/>
  <c r="B2891" i="1"/>
  <c r="B2892" i="1"/>
  <c r="B2893" i="1"/>
  <c r="B2894" i="1"/>
  <c r="B2895" i="1"/>
  <c r="B2896" i="1"/>
  <c r="B2897" i="1"/>
  <c r="B2898" i="1"/>
  <c r="B2899" i="1"/>
  <c r="B2900" i="1"/>
  <c r="B2901" i="1"/>
  <c r="B2902" i="1"/>
  <c r="B2903" i="1"/>
  <c r="B2904" i="1"/>
  <c r="B2905" i="1"/>
  <c r="B2906" i="1"/>
  <c r="B2907" i="1"/>
  <c r="B2908" i="1"/>
  <c r="B2909" i="1"/>
  <c r="B2910" i="1"/>
  <c r="B2911" i="1"/>
  <c r="B2912" i="1"/>
  <c r="B2913" i="1"/>
  <c r="B2914" i="1"/>
  <c r="B2915" i="1"/>
  <c r="B2916" i="1"/>
  <c r="B2917" i="1"/>
  <c r="B2918" i="1"/>
  <c r="B2919" i="1"/>
  <c r="B2920" i="1"/>
  <c r="B2921" i="1"/>
  <c r="B2922" i="1"/>
  <c r="B2923" i="1"/>
  <c r="B2924" i="1"/>
  <c r="B2925" i="1"/>
  <c r="B2926" i="1"/>
  <c r="B2927" i="1"/>
  <c r="B2928" i="1"/>
  <c r="P4" i="3"/>
  <c r="K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0D95BF-0C87-49B9-B4E2-481C9C369C9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4E70AFC-5F13-49C0-B9A6-A3F6D689DBD3}" name="WorksheetConnection_Raw Data!$A:$D" type="102" refreshedVersion="8" minRefreshableVersion="5">
    <extLst>
      <ext xmlns:x15="http://schemas.microsoft.com/office/spreadsheetml/2010/11/main" uri="{DE250136-89BD-433C-8126-D09CA5730AF9}">
        <x15:connection id="Range" autoDelete="1">
          <x15:rangePr sourceName="_xlcn.WorksheetConnection_RawDataAD"/>
        </x15:connection>
      </ext>
    </extLst>
  </connection>
  <connection id="3" xr16:uid="{22756A9A-1F70-4EC7-BD59-3A1D317B44CE}" name="WorksheetConnection_Raw Data!$B:$D" type="102" refreshedVersion="8" minRefreshableVersion="5">
    <extLst>
      <ext xmlns:x15="http://schemas.microsoft.com/office/spreadsheetml/2010/11/main" uri="{DE250136-89BD-433C-8126-D09CA5730AF9}">
        <x15:connection id="Range 1" autoDelete="1">
          <x15:rangePr sourceName="_xlcn.WorksheetConnection_RawDataBD"/>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Range].[Area].[All]}"/>
  </metadataStrings>
  <mdxMetadata count="1">
    <mdx n="0" f="s">
      <ms ns="1" c="0"/>
    </mdx>
  </mdxMetadata>
  <valueMetadata count="1">
    <bk>
      <rc t="1" v="0"/>
    </bk>
  </valueMetadata>
</metadata>
</file>

<file path=xl/sharedStrings.xml><?xml version="1.0" encoding="utf-8"?>
<sst xmlns="http://schemas.openxmlformats.org/spreadsheetml/2006/main" count="3065" uniqueCount="56">
  <si>
    <t>El Tahrir</t>
  </si>
  <si>
    <t>Mossadak</t>
  </si>
  <si>
    <t>Mohandessin</t>
  </si>
  <si>
    <t>EL Mesaha</t>
  </si>
  <si>
    <t>Zamalek</t>
  </si>
  <si>
    <t>Hyper one</t>
  </si>
  <si>
    <t>Bibliotheque</t>
  </si>
  <si>
    <t>Taqa West Somid</t>
  </si>
  <si>
    <t>Mobil-Sheraton</t>
  </si>
  <si>
    <t>Zahran Smouha</t>
  </si>
  <si>
    <t>Gleem</t>
  </si>
  <si>
    <t>Downtown</t>
  </si>
  <si>
    <t>Total 90</t>
  </si>
  <si>
    <t>Merghany</t>
  </si>
  <si>
    <t>El Shams</t>
  </si>
  <si>
    <t>Kolya Harbia</t>
  </si>
  <si>
    <t>Haram</t>
  </si>
  <si>
    <t>Sheraton</t>
  </si>
  <si>
    <t>Korba</t>
  </si>
  <si>
    <t>Cilantro 9 ST</t>
  </si>
  <si>
    <t>Nasr Road</t>
  </si>
  <si>
    <t>City Light</t>
  </si>
  <si>
    <t>El Akkad</t>
  </si>
  <si>
    <t>CO-OP Salah Salem</t>
  </si>
  <si>
    <t>Family Mall</t>
  </si>
  <si>
    <t>Ahram Mall</t>
  </si>
  <si>
    <t>Nile Tower</t>
  </si>
  <si>
    <t>COOP Roushdy</t>
  </si>
  <si>
    <t>Taqa New Giza</t>
  </si>
  <si>
    <t>Nile City Towers</t>
  </si>
  <si>
    <t>Rofayda Hospital</t>
  </si>
  <si>
    <t xml:space="preserve">Store Name </t>
  </si>
  <si>
    <t xml:space="preserve">Date </t>
  </si>
  <si>
    <t xml:space="preserve">Revenue </t>
  </si>
  <si>
    <t xml:space="preserve">Alexandria </t>
  </si>
  <si>
    <t>Heliopolis</t>
  </si>
  <si>
    <t>New Cairo</t>
  </si>
  <si>
    <t>October</t>
  </si>
  <si>
    <t>Dar Al Fouad Hospital</t>
  </si>
  <si>
    <t>Area</t>
  </si>
  <si>
    <t xml:space="preserve">Area </t>
  </si>
  <si>
    <t>Store Name</t>
  </si>
  <si>
    <t>Row Labels</t>
  </si>
  <si>
    <t>Grand Total</t>
  </si>
  <si>
    <t xml:space="preserve">Total Branches </t>
  </si>
  <si>
    <t xml:space="preserve">Total reveune From Apr to Jul </t>
  </si>
  <si>
    <t>Sum of Revenue</t>
  </si>
  <si>
    <t>يونيو</t>
  </si>
  <si>
    <t>Alexandria</t>
  </si>
  <si>
    <t xml:space="preserve">Sum of Revenue </t>
  </si>
  <si>
    <t>Distinct Count of Store Name</t>
  </si>
  <si>
    <t>Highest Branch</t>
  </si>
  <si>
    <t>All</t>
  </si>
  <si>
    <t>أبريل</t>
  </si>
  <si>
    <t>مايو</t>
  </si>
  <si>
    <t>يوليو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</si>
</sst>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 [$ج.م.‏-C01]_-;\-* #,##0.00\ [$ج.م.‏-C01]_-;_-* &quot;-&quot;??\ [$ج.م.‏-C01]_-;_-@_-"/>
  </numFmts>
  <fonts count="9" x14ac:knownFonts="1">
    <font>
      <sz val="11"/>
      <color theme="1"/>
      <name val="Calibri"/>
      <family val="2"/>
      <scheme val="minor"/>
    </font>
    <font>
      <b/>
      <sz val="11"/>
      <color theme="0"/>
      <name val="Calibri"/>
      <family val="2"/>
      <scheme val="minor"/>
    </font>
    <font>
      <sz val="11"/>
      <color theme="1"/>
      <name val="Calibri"/>
      <family val="2"/>
    </font>
    <font>
      <sz val="8"/>
      <name val="Calibri"/>
      <family val="2"/>
      <scheme val="minor"/>
    </font>
    <font>
      <sz val="20"/>
      <name val="Arial Black"/>
      <family val="2"/>
    </font>
    <font>
      <sz val="16"/>
      <name val="Arial Black"/>
      <family val="2"/>
    </font>
    <font>
      <sz val="18"/>
      <name val="Arial Black"/>
      <family val="2"/>
    </font>
    <font>
      <sz val="12"/>
      <color theme="1"/>
      <name val="Calibri"/>
      <family val="2"/>
      <scheme val="minor"/>
    </font>
    <font>
      <sz val="12"/>
      <color theme="0"/>
      <name val="Calibri"/>
      <family val="2"/>
      <scheme val="minor"/>
    </font>
  </fonts>
  <fills count="7">
    <fill>
      <patternFill patternType="none"/>
    </fill>
    <fill>
      <patternFill patternType="gray125"/>
    </fill>
    <fill>
      <patternFill patternType="solid">
        <fgColor rgb="FFFFFFFF"/>
        <bgColor indexed="64"/>
      </patternFill>
    </fill>
    <fill>
      <patternFill patternType="solid">
        <fgColor rgb="FF002060"/>
        <bgColor indexed="64"/>
      </patternFill>
    </fill>
    <fill>
      <patternFill patternType="solid">
        <fgColor rgb="FFFFC000"/>
        <bgColor indexed="64"/>
      </patternFill>
    </fill>
    <fill>
      <patternFill patternType="solid">
        <fgColor theme="1"/>
        <bgColor indexed="64"/>
      </patternFill>
    </fill>
    <fill>
      <patternFill patternType="solid">
        <fgColor rgb="FFF0C7A2"/>
        <bgColor indexed="64"/>
      </patternFill>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1">
    <xf numFmtId="0" fontId="0" fillId="0" borderId="0"/>
  </cellStyleXfs>
  <cellXfs count="18">
    <xf numFmtId="0" fontId="0" fillId="0" borderId="0" xfId="0"/>
    <xf numFmtId="0" fontId="2" fillId="2" borderId="1" xfId="0" applyFont="1" applyFill="1" applyBorder="1" applyAlignment="1">
      <alignment wrapText="1"/>
    </xf>
    <xf numFmtId="14" fontId="2" fillId="2" borderId="1" xfId="0" applyNumberFormat="1" applyFont="1" applyFill="1" applyBorder="1" applyAlignment="1">
      <alignment horizontal="center" wrapText="1"/>
    </xf>
    <xf numFmtId="0" fontId="2" fillId="2" borderId="1" xfId="0" applyFont="1" applyFill="1" applyBorder="1" applyAlignment="1">
      <alignment horizontal="center" wrapText="1"/>
    </xf>
    <xf numFmtId="0" fontId="1" fillId="3" borderId="0" xfId="0" applyFont="1" applyFill="1"/>
    <xf numFmtId="0" fontId="0" fillId="4" borderId="0" xfId="0" applyFill="1"/>
    <xf numFmtId="0" fontId="0" fillId="0" borderId="0" xfId="0" pivotButton="1"/>
    <xf numFmtId="0" fontId="0" fillId="0" borderId="0" xfId="0" applyAlignment="1">
      <alignment horizontal="left"/>
    </xf>
    <xf numFmtId="164" fontId="0" fillId="0" borderId="0" xfId="0" applyNumberFormat="1"/>
    <xf numFmtId="0" fontId="5" fillId="4" borderId="0" xfId="0" applyFont="1" applyFill="1"/>
    <xf numFmtId="0" fontId="7" fillId="6" borderId="0" xfId="0" applyFont="1" applyFill="1" applyAlignment="1">
      <alignment horizontal="center"/>
    </xf>
    <xf numFmtId="0" fontId="8" fillId="5" borderId="0" xfId="0" applyFont="1" applyFill="1" applyAlignment="1">
      <alignment horizontal="center"/>
    </xf>
    <xf numFmtId="0" fontId="7" fillId="4" borderId="0" xfId="0" applyFont="1" applyFill="1" applyAlignment="1">
      <alignment horizontal="center"/>
    </xf>
    <xf numFmtId="0" fontId="6" fillId="4" borderId="0" xfId="0" applyFont="1" applyFill="1" applyAlignment="1">
      <alignment horizontal="center"/>
    </xf>
    <xf numFmtId="0" fontId="4" fillId="4" borderId="0" xfId="0" applyFont="1" applyFill="1" applyAlignment="1">
      <alignment horizontal="center"/>
    </xf>
    <xf numFmtId="164" fontId="4" fillId="4" borderId="0" xfId="0" applyNumberFormat="1" applyFont="1" applyFill="1" applyAlignment="1">
      <alignment horizontal="center"/>
    </xf>
    <xf numFmtId="0" fontId="0" fillId="0" borderId="0" xfId="0" applyNumberFormat="1"/>
    <xf numFmtId="0" fontId="8" fillId="5" borderId="0" xfId="0" applyNumberFormat="1" applyFont="1" applyFill="1" applyAlignment="1">
      <alignment horizontal="center"/>
    </xf>
  </cellXfs>
  <cellStyles count="1">
    <cellStyle name="Normal" xfId="0" builtinId="0"/>
  </cellStyles>
  <dxfs count="128">
    <dxf>
      <fill>
        <patternFill patternType="solid">
          <bgColor rgb="FFF0C7A2"/>
        </patternFill>
      </fill>
    </dxf>
    <dxf>
      <fill>
        <patternFill patternType="solid">
          <bgColor theme="2" tint="-0.749992370372631"/>
        </patternFill>
      </fill>
    </dxf>
    <dxf>
      <fill>
        <patternFill patternType="solid">
          <bgColor theme="2" tint="-0.749992370372631"/>
        </patternFill>
      </fill>
    </dxf>
    <dxf>
      <font>
        <color theme="0"/>
      </font>
    </dxf>
    <dxf>
      <font>
        <color theme="0"/>
      </font>
    </dxf>
    <dxf>
      <alignment horizontal="center"/>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bgColor rgb="FFF0C7A2"/>
        </patternFill>
      </fill>
    </dxf>
    <dxf>
      <fill>
        <patternFill>
          <bgColor rgb="FFF0C7A2"/>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ill>
        <patternFill patternType="solid">
          <bgColor rgb="FFF0C7A2"/>
        </patternFill>
      </fill>
    </dxf>
    <dxf>
      <fill>
        <patternFill patternType="solid">
          <bgColor theme="2" tint="-0.749992370372631"/>
        </patternFill>
      </fill>
    </dxf>
    <dxf>
      <fill>
        <patternFill patternType="solid">
          <bgColor theme="2" tint="-0.749992370372631"/>
        </patternFill>
      </fill>
    </dxf>
    <dxf>
      <font>
        <color theme="0"/>
      </font>
    </dxf>
    <dxf>
      <font>
        <color theme="0"/>
      </font>
    </dxf>
    <dxf>
      <alignment horizontal="center"/>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bgColor rgb="FFF0C7A2"/>
        </patternFill>
      </fill>
    </dxf>
    <dxf>
      <fill>
        <patternFill>
          <bgColor rgb="FFF0C7A2"/>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ill>
        <patternFill patternType="solid">
          <bgColor rgb="FFF0C7A2"/>
        </patternFill>
      </fill>
    </dxf>
    <dxf>
      <fill>
        <patternFill patternType="solid">
          <bgColor theme="2" tint="-0.749992370372631"/>
        </patternFill>
      </fill>
    </dxf>
    <dxf>
      <fill>
        <patternFill patternType="solid">
          <bgColor theme="2" tint="-0.749992370372631"/>
        </patternFill>
      </fill>
    </dxf>
    <dxf>
      <font>
        <color theme="0"/>
      </font>
    </dxf>
    <dxf>
      <font>
        <color theme="0"/>
      </font>
    </dxf>
    <dxf>
      <alignment horizontal="center"/>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bgColor rgb="FFF0C7A2"/>
        </patternFill>
      </fill>
    </dxf>
    <dxf>
      <fill>
        <patternFill>
          <bgColor rgb="FFF0C7A2"/>
        </patternFill>
      </fill>
    </dxf>
    <dxf>
      <fill>
        <patternFill>
          <bgColor theme="1"/>
        </patternFill>
      </fill>
    </dxf>
    <dxf>
      <fill>
        <patternFill>
          <bgColor theme="1"/>
        </patternFill>
      </fill>
    </dxf>
    <dxf>
      <fill>
        <patternFill>
          <bgColor theme="1"/>
        </patternFill>
      </fill>
    </dxf>
    <dxf>
      <font>
        <color theme="0"/>
      </font>
    </dxf>
    <dxf>
      <font>
        <color theme="0"/>
      </font>
    </dxf>
    <dxf>
      <font>
        <color theme="0"/>
      </font>
    </dxf>
    <dxf>
      <alignment horizontal="center"/>
    </dxf>
    <dxf>
      <alignment horizontal="center"/>
    </dxf>
    <dxf>
      <alignment horizontal="center"/>
    </dxf>
    <dxf>
      <alignment horizontal="center"/>
    </dxf>
    <dxf>
      <alignment horizontal="center"/>
    </dxf>
    <dxf>
      <alignment horizontal="center"/>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font>
        <sz val="12"/>
      </font>
    </dxf>
    <dxf>
      <alignment horizontal="center"/>
    </dxf>
    <dxf>
      <alignment horizontal="center"/>
    </dxf>
    <dxf>
      <alignment horizontal="center"/>
    </dxf>
    <dxf>
      <alignment horizontal="center"/>
    </dxf>
    <dxf>
      <alignment horizontal="center"/>
    </dxf>
    <dxf>
      <alignment horizontal="center"/>
    </dxf>
    <dxf>
      <font>
        <color theme="0"/>
      </font>
    </dxf>
    <dxf>
      <font>
        <color theme="0"/>
      </font>
    </dxf>
    <dxf>
      <font>
        <color theme="0"/>
      </font>
    </dxf>
    <dxf>
      <fill>
        <patternFill>
          <bgColor theme="1"/>
        </patternFill>
      </fill>
    </dxf>
    <dxf>
      <fill>
        <patternFill>
          <bgColor theme="1"/>
        </patternFill>
      </fill>
    </dxf>
    <dxf>
      <fill>
        <patternFill>
          <bgColor theme="1"/>
        </patternFill>
      </fill>
    </dxf>
    <dxf>
      <fill>
        <patternFill>
          <bgColor rgb="FFF0C7A2"/>
        </patternFill>
      </fill>
    </dxf>
    <dxf>
      <fill>
        <patternFill>
          <bgColor rgb="FFF0C7A2"/>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fill>
        <patternFill patternType="solid">
          <fgColor indexed="64"/>
          <bgColor rgb="FFFFC000"/>
        </patternFill>
      </fill>
    </dxf>
    <dxf>
      <alignment horizontal="center"/>
    </dxf>
    <dxf>
      <font>
        <color theme="0"/>
      </font>
    </dxf>
    <dxf>
      <font>
        <color theme="0"/>
      </font>
    </dxf>
    <dxf>
      <fill>
        <patternFill patternType="solid">
          <bgColor theme="2" tint="-0.749992370372631"/>
        </patternFill>
      </fill>
    </dxf>
    <dxf>
      <fill>
        <patternFill patternType="solid">
          <bgColor theme="2" tint="-0.749992370372631"/>
        </patternFill>
      </fill>
    </dxf>
    <dxf>
      <fill>
        <patternFill patternType="solid">
          <bgColor rgb="FFF0C7A2"/>
        </patternFill>
      </fill>
    </dxf>
  </dxfs>
  <tableStyles count="0" defaultTableStyle="TableStyleMedium2" defaultPivotStyle="PivotStyleLight16"/>
  <colors>
    <mruColors>
      <color rgb="FFF0C7A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microsoft.com/office/2007/relationships/slicerCache" Target="slicerCaches/slicerCache2.xml"/><Relationship Id="rId25" Type="http://schemas.openxmlformats.org/officeDocument/2006/relationships/customXml" Target="../customXml/item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powerPivotData" Target="model/item.data"/><Relationship Id="rId10" Type="http://schemas.openxmlformats.org/officeDocument/2006/relationships/pivotCacheDefinition" Target="pivotCache/pivotCacheDefinition3.xml"/><Relationship Id="rId19"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[Delivery assessment excel.xlsx]Area vs sales!Area vs revenue</c:name>
    <c:fmtId val="1"/>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'Area vs sales'!$B$3</c:f>
              <c:strCache>
                <c:ptCount val="1"/>
                <c:pt idx="0">
                  <c:v>Total</c:v>
                </c:pt>
              </c:strCache>
            </c:strRef>
          </c:tx>
          <c:spPr>
            <a:solidFill>
              <a:schemeClr val="accent4"/>
            </a:solidFill>
            <a:ln>
              <a:noFill/>
            </a:ln>
            <a:effectLst/>
          </c:spPr>
          <c:invertIfNegative val="0"/>
          <c:cat>
            <c:strRef>
              <c:f>'Area vs sales'!$A$4:$A$9</c:f>
              <c:strCache>
                <c:ptCount val="5"/>
                <c:pt idx="0">
                  <c:v>Alexandria</c:v>
                </c:pt>
                <c:pt idx="1">
                  <c:v>Downtown</c:v>
                </c:pt>
                <c:pt idx="2">
                  <c:v>Heliopolis</c:v>
                </c:pt>
                <c:pt idx="3">
                  <c:v>New Cairo</c:v>
                </c:pt>
                <c:pt idx="4">
                  <c:v>October</c:v>
                </c:pt>
              </c:strCache>
            </c:strRef>
          </c:cat>
          <c:val>
            <c:numRef>
              <c:f>'Area vs sales'!$B$4:$B$9</c:f>
              <c:numCache>
                <c:formatCode>General</c:formatCode>
                <c:ptCount val="5"/>
                <c:pt idx="0">
                  <c:v>219157.59999999998</c:v>
                </c:pt>
                <c:pt idx="1">
                  <c:v>679891.59999999974</c:v>
                </c:pt>
                <c:pt idx="2">
                  <c:v>445994.39999999944</c:v>
                </c:pt>
                <c:pt idx="3">
                  <c:v>200837.60000000006</c:v>
                </c:pt>
                <c:pt idx="4">
                  <c:v>215842.40000000002</c:v>
                </c:pt>
              </c:numCache>
            </c:numRef>
          </c:val>
          <c:extLst>
            <c:ext xmlns:c16="http://schemas.microsoft.com/office/drawing/2014/chart" uri="{C3380CC4-5D6E-409C-BE32-E72D297353CC}">
              <c16:uniqueId val="{00000000-CA2A-4723-9A03-044AD7D00740}"/>
            </c:ext>
          </c:extLst>
        </c:ser>
        <c:dLbls>
          <c:showLegendKey val="0"/>
          <c:showVal val="0"/>
          <c:showCatName val="0"/>
          <c:showSerName val="0"/>
          <c:showPercent val="0"/>
          <c:showBubbleSize val="0"/>
        </c:dLbls>
        <c:gapWidth val="219"/>
        <c:overlap val="-27"/>
        <c:axId val="1711990608"/>
        <c:axId val="1250052528"/>
      </c:barChart>
      <c:catAx>
        <c:axId val="171199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052528"/>
        <c:crosses val="autoZero"/>
        <c:auto val="1"/>
        <c:lblAlgn val="ctr"/>
        <c:lblOffset val="100"/>
        <c:noMultiLvlLbl val="0"/>
      </c:catAx>
      <c:valAx>
        <c:axId val="12500525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1990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[Delivery assessment excel.xlsx]Months vs Revenues!PivotTable5</c:name>
    <c:fmtId val="0"/>
  </c:pivotSource>
  <c:chart>
    <c:autoTitleDeleted val="1"/>
    <c:pivotFmts>
      <c:pivotFmt>
        <c:idx val="0"/>
        <c:spPr>
          <a:ln w="28575" cap="rnd">
            <a:solidFill>
              <a:schemeClr val="accent4"/>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'Months vs Revenues'!$B$3</c:f>
              <c:strCache>
                <c:ptCount val="1"/>
                <c:pt idx="0">
                  <c:v>Total</c:v>
                </c:pt>
              </c:strCache>
            </c:strRef>
          </c:tx>
          <c:spPr>
            <a:ln w="28575" cap="rnd">
              <a:solidFill>
                <a:schemeClr val="accent4"/>
              </a:solidFill>
              <a:round/>
            </a:ln>
            <a:effectLst/>
          </c:spPr>
          <c:marker>
            <c:symbol val="none"/>
          </c:marker>
          <c:cat>
            <c:strRef>
              <c:f>'Months vs Revenues'!$A$4:$A$8</c:f>
              <c:strCache>
                <c:ptCount val="4"/>
                <c:pt idx="0">
                  <c:v>أبريل</c:v>
                </c:pt>
                <c:pt idx="1">
                  <c:v>مايو</c:v>
                </c:pt>
                <c:pt idx="2">
                  <c:v>يونيو</c:v>
                </c:pt>
                <c:pt idx="3">
                  <c:v>يوليو</c:v>
                </c:pt>
              </c:strCache>
            </c:strRef>
          </c:cat>
          <c:val>
            <c:numRef>
              <c:f>'Months vs Revenues'!$B$4:$B$8</c:f>
              <c:numCache>
                <c:formatCode>General</c:formatCode>
                <c:ptCount val="4"/>
                <c:pt idx="0">
                  <c:v>233321.59999999969</c:v>
                </c:pt>
                <c:pt idx="1">
                  <c:v>396561.19999999972</c:v>
                </c:pt>
                <c:pt idx="2">
                  <c:v>589126.79999999981</c:v>
                </c:pt>
                <c:pt idx="3">
                  <c:v>542713.99999999942</c:v>
                </c:pt>
              </c:numCache>
            </c:numRef>
          </c:val>
          <c:smooth val="0"/>
          <c:extLst>
            <c:ext xmlns:c16="http://schemas.microsoft.com/office/drawing/2014/chart" uri="{C3380CC4-5D6E-409C-BE32-E72D297353CC}">
              <c16:uniqueId val="{00000000-B295-44B3-B406-D642564465EF}"/>
            </c:ext>
          </c:extLst>
        </c:ser>
        <c:dLbls>
          <c:showLegendKey val="0"/>
          <c:showVal val="0"/>
          <c:showCatName val="0"/>
          <c:showSerName val="0"/>
          <c:showPercent val="0"/>
          <c:showBubbleSize val="0"/>
        </c:dLbls>
        <c:smooth val="0"/>
        <c:axId val="1666903600"/>
        <c:axId val="1595833392"/>
      </c:lineChart>
      <c:catAx>
        <c:axId val="16669036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95833392"/>
        <c:crosses val="autoZero"/>
        <c:auto val="1"/>
        <c:lblAlgn val="ctr"/>
        <c:lblOffset val="100"/>
        <c:noMultiLvlLbl val="0"/>
      </c:catAx>
      <c:valAx>
        <c:axId val="1595833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90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[Delivery assessment excel.xlsx]Stores Vs revenues!PivotTable6</c:name>
    <c:fmtId val="0"/>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'Stores Vs revenues'!$B$3</c:f>
              <c:strCache>
                <c:ptCount val="1"/>
                <c:pt idx="0">
                  <c:v>Total</c:v>
                </c:pt>
              </c:strCache>
            </c:strRef>
          </c:tx>
          <c:spPr>
            <a:solidFill>
              <a:schemeClr val="accent4"/>
            </a:solidFill>
            <a:ln>
              <a:noFill/>
            </a:ln>
            <a:effectLst/>
          </c:spPr>
          <c:invertIfNegative val="0"/>
          <c:cat>
            <c:strRef>
              <c:f>'Stores Vs revenues'!$A$4:$A$30</c:f>
              <c:strCache>
                <c:ptCount val="26"/>
                <c:pt idx="0">
                  <c:v>Ahram Mall</c:v>
                </c:pt>
                <c:pt idx="1">
                  <c:v>Bibliotheque</c:v>
                </c:pt>
                <c:pt idx="2">
                  <c:v>Cilantro 9 ST</c:v>
                </c:pt>
                <c:pt idx="3">
                  <c:v>City Light</c:v>
                </c:pt>
                <c:pt idx="4">
                  <c:v>COOP Roushdy</c:v>
                </c:pt>
                <c:pt idx="5">
                  <c:v>CO-OP Salah Salem</c:v>
                </c:pt>
                <c:pt idx="6">
                  <c:v>Downtown</c:v>
                </c:pt>
                <c:pt idx="7">
                  <c:v>El Akkad</c:v>
                </c:pt>
                <c:pt idx="8">
                  <c:v>EL Mesaha</c:v>
                </c:pt>
                <c:pt idx="9">
                  <c:v>El Tahrir</c:v>
                </c:pt>
                <c:pt idx="10">
                  <c:v>Family Mall</c:v>
                </c:pt>
                <c:pt idx="11">
                  <c:v>Gleem</c:v>
                </c:pt>
                <c:pt idx="12">
                  <c:v>Haram</c:v>
                </c:pt>
                <c:pt idx="13">
                  <c:v>Kolya Harbia</c:v>
                </c:pt>
                <c:pt idx="14">
                  <c:v>Merghany</c:v>
                </c:pt>
                <c:pt idx="15">
                  <c:v>Mobil-Sheraton</c:v>
                </c:pt>
                <c:pt idx="16">
                  <c:v>Mohandessin</c:v>
                </c:pt>
                <c:pt idx="17">
                  <c:v>Mossadak</c:v>
                </c:pt>
                <c:pt idx="18">
                  <c:v>Nasr Road</c:v>
                </c:pt>
                <c:pt idx="19">
                  <c:v>Nile City Towers</c:v>
                </c:pt>
                <c:pt idx="20">
                  <c:v>Rofayda Hospital</c:v>
                </c:pt>
                <c:pt idx="21">
                  <c:v>Sheraton</c:v>
                </c:pt>
                <c:pt idx="22">
                  <c:v>Taqa West Somid</c:v>
                </c:pt>
                <c:pt idx="23">
                  <c:v>Total 90</c:v>
                </c:pt>
                <c:pt idx="24">
                  <c:v>Zahran Smouha</c:v>
                </c:pt>
                <c:pt idx="25">
                  <c:v>Zamalek</c:v>
                </c:pt>
              </c:strCache>
            </c:strRef>
          </c:cat>
          <c:val>
            <c:numRef>
              <c:f>'Stores Vs revenues'!$B$4:$B$30</c:f>
              <c:numCache>
                <c:formatCode>General</c:formatCode>
                <c:ptCount val="26"/>
                <c:pt idx="0">
                  <c:v>90054.799999999974</c:v>
                </c:pt>
                <c:pt idx="1">
                  <c:v>37700.800000000003</c:v>
                </c:pt>
                <c:pt idx="2">
                  <c:v>103708.80000000002</c:v>
                </c:pt>
                <c:pt idx="3">
                  <c:v>104645.60000000005</c:v>
                </c:pt>
                <c:pt idx="4">
                  <c:v>63990.000000000007</c:v>
                </c:pt>
                <c:pt idx="5">
                  <c:v>36045.599999999991</c:v>
                </c:pt>
                <c:pt idx="6">
                  <c:v>55905.999999999993</c:v>
                </c:pt>
                <c:pt idx="7">
                  <c:v>99682.000000000044</c:v>
                </c:pt>
                <c:pt idx="8">
                  <c:v>68434.400000000009</c:v>
                </c:pt>
                <c:pt idx="9">
                  <c:v>120517.6</c:v>
                </c:pt>
                <c:pt idx="10">
                  <c:v>85737.999999999971</c:v>
                </c:pt>
                <c:pt idx="11">
                  <c:v>55490.400000000001</c:v>
                </c:pt>
                <c:pt idx="12">
                  <c:v>91899.599999999977</c:v>
                </c:pt>
                <c:pt idx="13">
                  <c:v>40611.599999999999</c:v>
                </c:pt>
                <c:pt idx="14">
                  <c:v>57567.199999999997</c:v>
                </c:pt>
                <c:pt idx="15">
                  <c:v>48346.8</c:v>
                </c:pt>
                <c:pt idx="16">
                  <c:v>72385.600000000035</c:v>
                </c:pt>
                <c:pt idx="17">
                  <c:v>82883.200000000012</c:v>
                </c:pt>
                <c:pt idx="18">
                  <c:v>98424.799999999974</c:v>
                </c:pt>
                <c:pt idx="19">
                  <c:v>5080.0000000000018</c:v>
                </c:pt>
                <c:pt idx="20">
                  <c:v>13552.800000000001</c:v>
                </c:pt>
                <c:pt idx="21">
                  <c:v>59095.6</c:v>
                </c:pt>
                <c:pt idx="22">
                  <c:v>26496.799999999999</c:v>
                </c:pt>
                <c:pt idx="23">
                  <c:v>144931.60000000006</c:v>
                </c:pt>
                <c:pt idx="24">
                  <c:v>61976.399999999987</c:v>
                </c:pt>
                <c:pt idx="25">
                  <c:v>36557.599999999969</c:v>
                </c:pt>
              </c:numCache>
            </c:numRef>
          </c:val>
          <c:extLst>
            <c:ext xmlns:c16="http://schemas.microsoft.com/office/drawing/2014/chart" uri="{C3380CC4-5D6E-409C-BE32-E72D297353CC}">
              <c16:uniqueId val="{00000000-2499-46F4-875B-340849BA11F6}"/>
            </c:ext>
          </c:extLst>
        </c:ser>
        <c:dLbls>
          <c:showLegendKey val="0"/>
          <c:showVal val="0"/>
          <c:showCatName val="0"/>
          <c:showSerName val="0"/>
          <c:showPercent val="0"/>
          <c:showBubbleSize val="0"/>
        </c:dLbls>
        <c:gapWidth val="182"/>
        <c:axId val="1716833600"/>
        <c:axId val="1250053488"/>
      </c:barChart>
      <c:catAx>
        <c:axId val="17168336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0053488"/>
        <c:crosses val="autoZero"/>
        <c:auto val="1"/>
        <c:lblAlgn val="ctr"/>
        <c:lblOffset val="100"/>
        <c:noMultiLvlLbl val="0"/>
      </c:catAx>
      <c:valAx>
        <c:axId val="12500534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6833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[Delivery assessment excel.xlsx]Area vs sales!Area vs revenue</c:name>
    <c:fmtId val="3"/>
  </c:pivotSource>
  <c:chart>
    <c:autoTitleDeleted val="1"/>
    <c:pivotFmts>
      <c:pivotFmt>
        <c:idx val="0"/>
      </c:pivotFmt>
      <c:pivotFmt>
        <c:idx val="1"/>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17254990010683"/>
          <c:y val="0.17533722880984945"/>
          <c:w val="0.95678648595560789"/>
          <c:h val="0.56096831646044243"/>
        </c:manualLayout>
      </c:layout>
      <c:barChart>
        <c:barDir val="col"/>
        <c:grouping val="clustered"/>
        <c:varyColors val="0"/>
        <c:ser>
          <c:idx val="0"/>
          <c:order val="0"/>
          <c:tx>
            <c:strRef>
              <c:f>'Area vs sales'!$B$3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'Area vs sales'!$A$4:$A$9</c:f>
              <c:strCache>
                <c:ptCount val="5"/>
                <c:pt idx="0">
                  <c:v>Alexandria</c:v>
                </c:pt>
                <c:pt idx="1">
                  <c:v>Downtown</c:v>
                </c:pt>
                <c:pt idx="2">
                  <c:v>Heliopolis</c:v>
                </c:pt>
                <c:pt idx="3">
                  <c:v>New Cairo</c:v>
                </c:pt>
                <c:pt idx="4">
                  <c:v>October</c:v>
                </c:pt>
              </c:strCache>
            </c:strRef>
          </c:cat>
          <c:val>
            <c:numRef>
              <c:f>'Area vs sales'!$B$4:$B$9</c:f>
              <c:numCache>
                <c:formatCode>General</c:formatCode>
                <c:ptCount val="5"/>
                <c:pt idx="0">
                  <c:v>219157.59999999998</c:v>
                </c:pt>
                <c:pt idx="1">
                  <c:v>679891.59999999974</c:v>
                </c:pt>
                <c:pt idx="2">
                  <c:v>445994.39999999944</c:v>
                </c:pt>
                <c:pt idx="3">
                  <c:v>200837.60000000006</c:v>
                </c:pt>
                <c:pt idx="4">
                  <c:v>215842.40000000002</c:v>
                </c:pt>
              </c:numCache>
            </c:numRef>
          </c:val>
          <c:extLst>
            <c:ext xmlns:c16="http://schemas.microsoft.com/office/drawing/2014/chart" uri="{C3380CC4-5D6E-409C-BE32-E72D297353CC}">
              <c16:uniqueId val="{00000000-902A-4089-8620-5AEA579C2AE0}"/>
            </c:ext>
          </c:extLst>
        </c:ser>
        <c:dLbls>
          <c:dLblPos val="outEnd"/>
          <c:showLegendKey val="0"/>
          <c:showVal val="1"/>
          <c:showCatName val="0"/>
          <c:showSerName val="0"/>
          <c:showPercent val="0"/>
          <c:showBubbleSize val="0"/>
        </c:dLbls>
        <c:gapWidth val="100"/>
        <c:overlap val="-24"/>
        <c:axId val="1711990608"/>
        <c:axId val="1250052528"/>
      </c:barChart>
      <c:catAx>
        <c:axId val="171199060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0052528"/>
        <c:crosses val="autoZero"/>
        <c:auto val="1"/>
        <c:lblAlgn val="ctr"/>
        <c:lblOffset val="100"/>
        <c:noMultiLvlLbl val="0"/>
      </c:catAx>
      <c:valAx>
        <c:axId val="125005252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19906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[Delivery assessment excel.xlsx]Months vs Revenues!PivotTable5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'Months vs Revenues'!$B$3</c:f>
              <c:strCache>
                <c:ptCount val="1"/>
                <c:pt idx="0">
                  <c:v>Total</c:v>
                </c:pt>
              </c:strCache>
            </c:strRef>
          </c:tx>
          <c:spPr>
            <a:ln w="22225" cap="rnd">
              <a:solidFill>
                <a:schemeClr val="accent4"/>
              </a:solidFill>
            </a:ln>
            <a:effectLst>
              <a:glow rad="139700">
                <a:schemeClr val="accent4">
                  <a:satMod val="175000"/>
                  <a:alpha val="14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'Months vs Revenues'!$A$4:$A$8</c:f>
              <c:strCache>
                <c:ptCount val="4"/>
                <c:pt idx="0">
                  <c:v>أبريل</c:v>
                </c:pt>
                <c:pt idx="1">
                  <c:v>مايو</c:v>
                </c:pt>
                <c:pt idx="2">
                  <c:v>يونيو</c:v>
                </c:pt>
                <c:pt idx="3">
                  <c:v>يوليو</c:v>
                </c:pt>
              </c:strCache>
            </c:strRef>
          </c:cat>
          <c:val>
            <c:numRef>
              <c:f>'Months vs Revenues'!$B$4:$B$8</c:f>
              <c:numCache>
                <c:formatCode>General</c:formatCode>
                <c:ptCount val="4"/>
                <c:pt idx="0">
                  <c:v>233321.59999999969</c:v>
                </c:pt>
                <c:pt idx="1">
                  <c:v>396561.19999999972</c:v>
                </c:pt>
                <c:pt idx="2">
                  <c:v>589126.79999999981</c:v>
                </c:pt>
                <c:pt idx="3">
                  <c:v>542713.99999999942</c:v>
                </c:pt>
              </c:numCache>
            </c:numRef>
          </c:val>
          <c:smooth val="0"/>
          <c:extLst>
            <c:ext xmlns:c16="http://schemas.microsoft.com/office/drawing/2014/chart" uri="{C3380CC4-5D6E-409C-BE32-E72D297353CC}">
              <c16:uniqueId val="{00000000-9F46-40EB-8158-599DC0642A35}"/>
            </c:ext>
          </c:extLst>
        </c:ser>
        <c:dLbls>
          <c:dLblPos val="ctr"/>
          <c:showLegendKey val="0"/>
          <c:showVal val="1"/>
          <c:showCatName val="0"/>
          <c:showSerName val="0"/>
          <c:showPercent val="0"/>
          <c:showBubbleSize val="0"/>
        </c:dLbls>
        <c:marker val="1"/>
        <c:smooth val="0"/>
        <c:axId val="1666903600"/>
        <c:axId val="1595833392"/>
      </c:lineChart>
      <c:catAx>
        <c:axId val="16669036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95833392"/>
        <c:crosses val="autoZero"/>
        <c:auto val="1"/>
        <c:lblAlgn val="ctr"/>
        <c:lblOffset val="100"/>
        <c:noMultiLvlLbl val="0"/>
      </c:catAx>
      <c:valAx>
        <c:axId val="1595833392"/>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6690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[Delivery assessment excel.xlsx]Stores Vs revenues!PivotTable6</c:name>
    <c:fmtId val="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'Stores Vs revenues'!$B$3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'Stores Vs revenues'!$A$4:$A$30</c:f>
              <c:strCache>
                <c:ptCount val="26"/>
                <c:pt idx="0">
                  <c:v>Ahram Mall</c:v>
                </c:pt>
                <c:pt idx="1">
                  <c:v>Bibliotheque</c:v>
                </c:pt>
                <c:pt idx="2">
                  <c:v>Cilantro 9 ST</c:v>
                </c:pt>
                <c:pt idx="3">
                  <c:v>City Light</c:v>
                </c:pt>
                <c:pt idx="4">
                  <c:v>COOP Roushdy</c:v>
                </c:pt>
                <c:pt idx="5">
                  <c:v>CO-OP Salah Salem</c:v>
                </c:pt>
                <c:pt idx="6">
                  <c:v>Downtown</c:v>
                </c:pt>
                <c:pt idx="7">
                  <c:v>El Akkad</c:v>
                </c:pt>
                <c:pt idx="8">
                  <c:v>EL Mesaha</c:v>
                </c:pt>
                <c:pt idx="9">
                  <c:v>El Tahrir</c:v>
                </c:pt>
                <c:pt idx="10">
                  <c:v>Family Mall</c:v>
                </c:pt>
                <c:pt idx="11">
                  <c:v>Gleem</c:v>
                </c:pt>
                <c:pt idx="12">
                  <c:v>Haram</c:v>
                </c:pt>
                <c:pt idx="13">
                  <c:v>Kolya Harbia</c:v>
                </c:pt>
                <c:pt idx="14">
                  <c:v>Merghany</c:v>
                </c:pt>
                <c:pt idx="15">
                  <c:v>Mobil-Sheraton</c:v>
                </c:pt>
                <c:pt idx="16">
                  <c:v>Mohandessin</c:v>
                </c:pt>
                <c:pt idx="17">
                  <c:v>Mossadak</c:v>
                </c:pt>
                <c:pt idx="18">
                  <c:v>Nasr Road</c:v>
                </c:pt>
                <c:pt idx="19">
                  <c:v>Nile City Towers</c:v>
                </c:pt>
                <c:pt idx="20">
                  <c:v>Rofayda Hospital</c:v>
                </c:pt>
                <c:pt idx="21">
                  <c:v>Sheraton</c:v>
                </c:pt>
                <c:pt idx="22">
                  <c:v>Taqa West Somid</c:v>
                </c:pt>
                <c:pt idx="23">
                  <c:v>Total 90</c:v>
                </c:pt>
                <c:pt idx="24">
                  <c:v>Zahran Smouha</c:v>
                </c:pt>
                <c:pt idx="25">
                  <c:v>Zamalek</c:v>
                </c:pt>
              </c:strCache>
            </c:strRef>
          </c:cat>
          <c:val>
            <c:numRef>
              <c:f>'Stores Vs revenues'!$B$4:$B$30</c:f>
              <c:numCache>
                <c:formatCode>General</c:formatCode>
                <c:ptCount val="26"/>
                <c:pt idx="0">
                  <c:v>90054.799999999974</c:v>
                </c:pt>
                <c:pt idx="1">
                  <c:v>37700.800000000003</c:v>
                </c:pt>
                <c:pt idx="2">
                  <c:v>103708.80000000002</c:v>
                </c:pt>
                <c:pt idx="3">
                  <c:v>104645.60000000005</c:v>
                </c:pt>
                <c:pt idx="4">
                  <c:v>63990.000000000007</c:v>
                </c:pt>
                <c:pt idx="5">
                  <c:v>36045.599999999991</c:v>
                </c:pt>
                <c:pt idx="6">
                  <c:v>55905.999999999993</c:v>
                </c:pt>
                <c:pt idx="7">
                  <c:v>99682.000000000044</c:v>
                </c:pt>
                <c:pt idx="8">
                  <c:v>68434.400000000009</c:v>
                </c:pt>
                <c:pt idx="9">
                  <c:v>120517.6</c:v>
                </c:pt>
                <c:pt idx="10">
                  <c:v>85737.999999999971</c:v>
                </c:pt>
                <c:pt idx="11">
                  <c:v>55490.400000000001</c:v>
                </c:pt>
                <c:pt idx="12">
                  <c:v>91899.599999999977</c:v>
                </c:pt>
                <c:pt idx="13">
                  <c:v>40611.599999999999</c:v>
                </c:pt>
                <c:pt idx="14">
                  <c:v>57567.199999999997</c:v>
                </c:pt>
                <c:pt idx="15">
                  <c:v>48346.8</c:v>
                </c:pt>
                <c:pt idx="16">
                  <c:v>72385.600000000035</c:v>
                </c:pt>
                <c:pt idx="17">
                  <c:v>82883.200000000012</c:v>
                </c:pt>
                <c:pt idx="18">
                  <c:v>98424.799999999974</c:v>
                </c:pt>
                <c:pt idx="19">
                  <c:v>5080.0000000000018</c:v>
                </c:pt>
                <c:pt idx="20">
                  <c:v>13552.800000000001</c:v>
                </c:pt>
                <c:pt idx="21">
                  <c:v>59095.6</c:v>
                </c:pt>
                <c:pt idx="22">
                  <c:v>26496.799999999999</c:v>
                </c:pt>
                <c:pt idx="23">
                  <c:v>144931.60000000006</c:v>
                </c:pt>
                <c:pt idx="24">
                  <c:v>61976.399999999987</c:v>
                </c:pt>
                <c:pt idx="25">
                  <c:v>36557.599999999969</c:v>
                </c:pt>
              </c:numCache>
            </c:numRef>
          </c:val>
          <c:extLst>
            <c:ext xmlns:c16="http://schemas.microsoft.com/office/drawing/2014/chart" uri="{C3380CC4-5D6E-409C-BE32-E72D297353CC}">
              <c16:uniqueId val="{00000000-8430-454F-A284-C1201F8825E6}"/>
            </c:ext>
          </c:extLst>
        </c:ser>
        <c:dLbls>
          <c:showLegendKey val="0"/>
          <c:showVal val="0"/>
          <c:showCatName val="0"/>
          <c:showSerName val="0"/>
          <c:showPercent val="0"/>
          <c:showBubbleSize val="0"/>
        </c:dLbls>
        <c:gapWidth val="115"/>
        <c:overlap val="-20"/>
        <c:axId val="1716833600"/>
        <c:axId val="1250053488"/>
      </c:barChart>
      <c:catAx>
        <c:axId val="1716833600"/>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50053488"/>
        <c:crosses val="autoZero"/>
        <c:auto val="1"/>
        <c:lblAlgn val="ctr"/>
        <c:lblOffset val="100"/>
        <c:noMultiLvlLbl val="0"/>
      </c:catAx>
      <c:valAx>
        <c:axId val="125005348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716833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image" Target="../media/image1.png"/><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600075</xdr:colOff>
      <xdr:row>7</xdr:row>
      <xdr:rowOff>74295</xdr:rowOff>
    </xdr:from>
    <xdr:to>
      <xdr:col>11</xdr:col>
      <xdr:colOff>51435</xdr:colOff>
      <xdr:row>22</xdr:row>
      <xdr:rowOff>74295</xdr:rowOff>
    </xdr:to>
    <xdr:graphicFrame macro="">
      <xdr:nvGraphicFramePr>
        <xdr:cNvPr id="3" name="Chart 2">
          <a:extLst>
            <a:ext uri="{FF2B5EF4-FFF2-40B4-BE49-F238E27FC236}">
              <a16:creationId xmlns:a16="http://schemas.microsoft.com/office/drawing/2014/main" id="{9CE59E48-97AA-212B-A411-1DB30AF91C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607694</xdr:colOff>
      <xdr:row>6</xdr:row>
      <xdr:rowOff>3810</xdr:rowOff>
    </xdr:from>
    <xdr:to>
      <xdr:col>12</xdr:col>
      <xdr:colOff>217170</xdr:colOff>
      <xdr:row>22</xdr:row>
      <xdr:rowOff>133350</xdr:rowOff>
    </xdr:to>
    <xdr:graphicFrame macro="">
      <xdr:nvGraphicFramePr>
        <xdr:cNvPr id="2" name="Chart 1">
          <a:extLst>
            <a:ext uri="{FF2B5EF4-FFF2-40B4-BE49-F238E27FC236}">
              <a16:creationId xmlns:a16="http://schemas.microsoft.com/office/drawing/2014/main" id="{1F4A8037-635B-75E7-3284-1F7C3AE186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344804</xdr:colOff>
      <xdr:row>7</xdr:row>
      <xdr:rowOff>62865</xdr:rowOff>
    </xdr:from>
    <xdr:to>
      <xdr:col>11</xdr:col>
      <xdr:colOff>22859</xdr:colOff>
      <xdr:row>22</xdr:row>
      <xdr:rowOff>62865</xdr:rowOff>
    </xdr:to>
    <xdr:graphicFrame macro="">
      <xdr:nvGraphicFramePr>
        <xdr:cNvPr id="2" name="Chart 1">
          <a:extLst>
            <a:ext uri="{FF2B5EF4-FFF2-40B4-BE49-F238E27FC236}">
              <a16:creationId xmlns:a16="http://schemas.microsoft.com/office/drawing/2014/main" id="{AEF23220-5706-4021-D69C-A40EE85BE4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312420</xdr:colOff>
      <xdr:row>8</xdr:row>
      <xdr:rowOff>22860</xdr:rowOff>
    </xdr:from>
    <xdr:to>
      <xdr:col>11</xdr:col>
      <xdr:colOff>220980</xdr:colOff>
      <xdr:row>21</xdr:row>
      <xdr:rowOff>169545</xdr:rowOff>
    </xdr:to>
    <mc:AlternateContent xmlns:mc="http://schemas.openxmlformats.org/markup-compatibility/2006" xmlns:a14="http://schemas.microsoft.com/office/drawing/2010/main">
      <mc:Choice Requires="a14">
        <xdr:graphicFrame macro="">
          <xdr:nvGraphicFramePr>
            <xdr:cNvPr id="3" name="Area">
              <a:extLst>
                <a:ext uri="{FF2B5EF4-FFF2-40B4-BE49-F238E27FC236}">
                  <a16:creationId xmlns:a16="http://schemas.microsoft.com/office/drawing/2014/main" id="{1B0B34B9-2CD5-73A2-7A44-C5B448964E95}"/>
                </a:ext>
              </a:extLst>
            </xdr:cNvPr>
            <xdr:cNvGraphicFramePr/>
          </xdr:nvGraphicFramePr>
          <xdr:xfrm>
            <a:off x="0" y="0"/>
            <a:ext cx="0" cy="0"/>
          </xdr:xfrm>
          <a:graphic>
            <a:graphicData uri="http://schemas.microsoft.com/office/drawing/2010/slicer">
              <sle:slicer xmlns:sle="http://schemas.microsoft.com/office/drawing/2010/slicer" name="Area"/>
            </a:graphicData>
          </a:graphic>
        </xdr:graphicFrame>
      </mc:Choice>
      <mc:Fallback xmlns="">
        <xdr:sp macro="" textlink="">
          <xdr:nvSpPr>
            <xdr:cNvPr id="0" name=""/>
            <xdr:cNvSpPr>
              <a:spLocks noTextEdit="1"/>
            </xdr:cNvSpPr>
          </xdr:nvSpPr>
          <xdr:spPr>
            <a:xfrm>
              <a:off x="6035040" y="14859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107576</xdr:rowOff>
    </xdr:from>
    <xdr:to>
      <xdr:col>4</xdr:col>
      <xdr:colOff>594006</xdr:colOff>
      <xdr:row>4</xdr:row>
      <xdr:rowOff>53339</xdr:rowOff>
    </xdr:to>
    <xdr:pic>
      <xdr:nvPicPr>
        <xdr:cNvPr id="5" name="Picture 4">
          <a:extLst>
            <a:ext uri="{FF2B5EF4-FFF2-40B4-BE49-F238E27FC236}">
              <a16:creationId xmlns:a16="http://schemas.microsoft.com/office/drawing/2014/main" id="{AED3AA18-B529-9BC0-573F-586CAB8E12D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107576"/>
          <a:ext cx="3157912" cy="680869"/>
        </a:xfrm>
        <a:prstGeom prst="rect">
          <a:avLst/>
        </a:prstGeom>
      </xdr:spPr>
    </xdr:pic>
    <xdr:clientData/>
  </xdr:twoCellAnchor>
  <xdr:twoCellAnchor>
    <xdr:from>
      <xdr:col>12</xdr:col>
      <xdr:colOff>437703</xdr:colOff>
      <xdr:row>5</xdr:row>
      <xdr:rowOff>67010</xdr:rowOff>
    </xdr:from>
    <xdr:to>
      <xdr:col>16</xdr:col>
      <xdr:colOff>139179</xdr:colOff>
      <xdr:row>16</xdr:row>
      <xdr:rowOff>109816</xdr:rowOff>
    </xdr:to>
    <xdr:sp macro="" textlink="">
      <xdr:nvSpPr>
        <xdr:cNvPr id="6" name="Rectangle 5">
          <a:extLst>
            <a:ext uri="{FF2B5EF4-FFF2-40B4-BE49-F238E27FC236}">
              <a16:creationId xmlns:a16="http://schemas.microsoft.com/office/drawing/2014/main" id="{43983672-09C5-FC9A-9F88-A38551CE4DF1}"/>
            </a:ext>
          </a:extLst>
        </xdr:cNvPr>
        <xdr:cNvSpPr/>
      </xdr:nvSpPr>
      <xdr:spPr>
        <a:xfrm>
          <a:off x="6112362" y="985892"/>
          <a:ext cx="4076252" cy="2064348"/>
        </a:xfrm>
        <a:prstGeom prst="rect">
          <a:avLst/>
        </a:prstGeom>
        <a:solidFill>
          <a:srgbClr val="F0C7A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tx1"/>
              </a:solidFill>
            </a:rPr>
            <a:t>What</a:t>
          </a:r>
          <a:r>
            <a:rPr lang="en-US" sz="1400" baseline="0">
              <a:solidFill>
                <a:schemeClr val="tx1"/>
              </a:solidFill>
            </a:rPr>
            <a:t> best area in sales ?</a:t>
          </a:r>
          <a:endParaRPr lang="en-US" sz="1400">
            <a:solidFill>
              <a:schemeClr val="tx1"/>
            </a:solidFill>
          </a:endParaRPr>
        </a:p>
      </xdr:txBody>
    </xdr:sp>
    <xdr:clientData/>
  </xdr:twoCellAnchor>
  <xdr:twoCellAnchor>
    <xdr:from>
      <xdr:col>17</xdr:col>
      <xdr:colOff>595256</xdr:colOff>
      <xdr:row>19</xdr:row>
      <xdr:rowOff>149710</xdr:rowOff>
    </xdr:from>
    <xdr:to>
      <xdr:col>21</xdr:col>
      <xdr:colOff>479612</xdr:colOff>
      <xdr:row>31</xdr:row>
      <xdr:rowOff>8740</xdr:rowOff>
    </xdr:to>
    <xdr:sp macro="" textlink="">
      <xdr:nvSpPr>
        <xdr:cNvPr id="7" name="Rectangle 6">
          <a:extLst>
            <a:ext uri="{FF2B5EF4-FFF2-40B4-BE49-F238E27FC236}">
              <a16:creationId xmlns:a16="http://schemas.microsoft.com/office/drawing/2014/main" id="{B13A3DEB-D9CE-43EE-8363-0784CEE7ED49}"/>
            </a:ext>
          </a:extLst>
        </xdr:cNvPr>
        <xdr:cNvSpPr/>
      </xdr:nvSpPr>
      <xdr:spPr>
        <a:xfrm>
          <a:off x="10980868" y="4004534"/>
          <a:ext cx="4272579" cy="2064347"/>
        </a:xfrm>
        <a:prstGeom prst="rect">
          <a:avLst/>
        </a:prstGeom>
        <a:solidFill>
          <a:srgbClr val="F0C7A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tx1"/>
              </a:solidFill>
            </a:rPr>
            <a:t>What</a:t>
          </a:r>
          <a:r>
            <a:rPr lang="en-US" sz="1400" baseline="0">
              <a:solidFill>
                <a:schemeClr val="tx1"/>
              </a:solidFill>
            </a:rPr>
            <a:t> is Revenue in each month ? </a:t>
          </a:r>
          <a:endParaRPr lang="en-US" sz="1400">
            <a:solidFill>
              <a:schemeClr val="tx1"/>
            </a:solidFill>
          </a:endParaRPr>
        </a:p>
      </xdr:txBody>
    </xdr:sp>
    <xdr:clientData/>
  </xdr:twoCellAnchor>
  <xdr:twoCellAnchor>
    <xdr:from>
      <xdr:col>0</xdr:col>
      <xdr:colOff>215153</xdr:colOff>
      <xdr:row>17</xdr:row>
      <xdr:rowOff>106903</xdr:rowOff>
    </xdr:from>
    <xdr:to>
      <xdr:col>17</xdr:col>
      <xdr:colOff>143883</xdr:colOff>
      <xdr:row>31</xdr:row>
      <xdr:rowOff>91663</xdr:rowOff>
    </xdr:to>
    <xdr:sp macro="" textlink="">
      <xdr:nvSpPr>
        <xdr:cNvPr id="8" name="Rectangle 7">
          <a:extLst>
            <a:ext uri="{FF2B5EF4-FFF2-40B4-BE49-F238E27FC236}">
              <a16:creationId xmlns:a16="http://schemas.microsoft.com/office/drawing/2014/main" id="{57B8A6A6-4EDB-4073-B116-EC7737057991}"/>
            </a:ext>
          </a:extLst>
        </xdr:cNvPr>
        <xdr:cNvSpPr/>
      </xdr:nvSpPr>
      <xdr:spPr>
        <a:xfrm>
          <a:off x="215153" y="3231103"/>
          <a:ext cx="8382448" cy="2557631"/>
        </a:xfrm>
        <a:prstGeom prst="rect">
          <a:avLst/>
        </a:prstGeom>
        <a:solidFill>
          <a:srgbClr val="F0C7A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400">
              <a:solidFill>
                <a:schemeClr val="tx1"/>
              </a:solidFill>
            </a:rPr>
            <a:t>What</a:t>
          </a:r>
          <a:r>
            <a:rPr lang="en-US" sz="1400" baseline="0">
              <a:solidFill>
                <a:schemeClr val="tx1"/>
              </a:solidFill>
            </a:rPr>
            <a:t> are Revenues in each store ?</a:t>
          </a:r>
          <a:endParaRPr lang="en-US" sz="1400">
            <a:solidFill>
              <a:schemeClr val="tx1"/>
            </a:solidFill>
          </a:endParaRPr>
        </a:p>
      </xdr:txBody>
    </xdr:sp>
    <xdr:clientData/>
  </xdr:twoCellAnchor>
  <xdr:twoCellAnchor>
    <xdr:from>
      <xdr:col>12</xdr:col>
      <xdr:colOff>606686</xdr:colOff>
      <xdr:row>7</xdr:row>
      <xdr:rowOff>159347</xdr:rowOff>
    </xdr:from>
    <xdr:to>
      <xdr:col>15</xdr:col>
      <xdr:colOff>1337309</xdr:colOff>
      <xdr:row>15</xdr:row>
      <xdr:rowOff>160243</xdr:rowOff>
    </xdr:to>
    <xdr:graphicFrame macro="">
      <xdr:nvGraphicFramePr>
        <xdr:cNvPr id="10" name="Chart 9">
          <a:extLst>
            <a:ext uri="{FF2B5EF4-FFF2-40B4-BE49-F238E27FC236}">
              <a16:creationId xmlns:a16="http://schemas.microsoft.com/office/drawing/2014/main" id="{24200325-D987-41B3-84D0-8995F4A194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215153</xdr:colOff>
      <xdr:row>21</xdr:row>
      <xdr:rowOff>84943</xdr:rowOff>
    </xdr:from>
    <xdr:to>
      <xdr:col>21</xdr:col>
      <xdr:colOff>188259</xdr:colOff>
      <xdr:row>30</xdr:row>
      <xdr:rowOff>143434</xdr:rowOff>
    </xdr:to>
    <xdr:graphicFrame macro="">
      <xdr:nvGraphicFramePr>
        <xdr:cNvPr id="11" name="Chart 10">
          <a:extLst>
            <a:ext uri="{FF2B5EF4-FFF2-40B4-BE49-F238E27FC236}">
              <a16:creationId xmlns:a16="http://schemas.microsoft.com/office/drawing/2014/main" id="{CAF3833D-2969-4714-99D4-E136267221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165847</xdr:colOff>
      <xdr:row>5</xdr:row>
      <xdr:rowOff>165176</xdr:rowOff>
    </xdr:from>
    <xdr:to>
      <xdr:col>11</xdr:col>
      <xdr:colOff>168537</xdr:colOff>
      <xdr:row>10</xdr:row>
      <xdr:rowOff>40342</xdr:rowOff>
    </xdr:to>
    <mc:AlternateContent xmlns:mc="http://schemas.openxmlformats.org/markup-compatibility/2006" xmlns:a14="http://schemas.microsoft.com/office/drawing/2010/main">
      <mc:Choice Requires="a14">
        <xdr:graphicFrame macro="">
          <xdr:nvGraphicFramePr>
            <xdr:cNvPr id="14" name="Area 1">
              <a:extLst>
                <a:ext uri="{FF2B5EF4-FFF2-40B4-BE49-F238E27FC236}">
                  <a16:creationId xmlns:a16="http://schemas.microsoft.com/office/drawing/2014/main" id="{F9A84E5B-5738-45B1-B626-8BA080E99D01}"/>
                </a:ext>
              </a:extLst>
            </xdr:cNvPr>
            <xdr:cNvGraphicFramePr/>
          </xdr:nvGraphicFramePr>
          <xdr:xfrm>
            <a:off x="0" y="0"/>
            <a:ext cx="0" cy="0"/>
          </xdr:xfrm>
          <a:graphic>
            <a:graphicData uri="http://schemas.microsoft.com/office/drawing/2010/slicer">
              <sle:slicer xmlns:sle="http://schemas.microsoft.com/office/drawing/2010/slicer" name="Area 1"/>
            </a:graphicData>
          </a:graphic>
        </xdr:graphicFrame>
      </mc:Choice>
      <mc:Fallback xmlns="">
        <xdr:sp macro="" textlink="">
          <xdr:nvSpPr>
            <xdr:cNvPr id="0" name=""/>
            <xdr:cNvSpPr>
              <a:spLocks noTextEdit="1"/>
            </xdr:cNvSpPr>
          </xdr:nvSpPr>
          <xdr:spPr>
            <a:xfrm>
              <a:off x="165847" y="1084058"/>
              <a:ext cx="5036372" cy="103609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180416</xdr:colOff>
      <xdr:row>18</xdr:row>
      <xdr:rowOff>161366</xdr:rowOff>
    </xdr:from>
    <xdr:to>
      <xdr:col>16</xdr:col>
      <xdr:colOff>272304</xdr:colOff>
      <xdr:row>30</xdr:row>
      <xdr:rowOff>173244</xdr:rowOff>
    </xdr:to>
    <xdr:graphicFrame macro="">
      <xdr:nvGraphicFramePr>
        <xdr:cNvPr id="13" name="Chart 12">
          <a:extLst>
            <a:ext uri="{FF2B5EF4-FFF2-40B4-BE49-F238E27FC236}">
              <a16:creationId xmlns:a16="http://schemas.microsoft.com/office/drawing/2014/main" id="{93AC9D1A-9A1D-48A5-A7D5-FFD2D8A8E5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147916</xdr:colOff>
      <xdr:row>10</xdr:row>
      <xdr:rowOff>165846</xdr:rowOff>
    </xdr:from>
    <xdr:to>
      <xdr:col>11</xdr:col>
      <xdr:colOff>112059</xdr:colOff>
      <xdr:row>14</xdr:row>
      <xdr:rowOff>170329</xdr:rowOff>
    </xdr:to>
    <mc:AlternateContent xmlns:mc="http://schemas.openxmlformats.org/markup-compatibility/2006" xmlns:a14="http://schemas.microsoft.com/office/drawing/2010/main">
      <mc:Choice Requires="a14">
        <xdr:graphicFrame macro="">
          <xdr:nvGraphicFramePr>
            <xdr:cNvPr id="2" name="Date (Month)">
              <a:extLst>
                <a:ext uri="{FF2B5EF4-FFF2-40B4-BE49-F238E27FC236}">
                  <a16:creationId xmlns:a16="http://schemas.microsoft.com/office/drawing/2014/main" id="{5BA3F5E3-E271-45A9-B5C8-DE27B8DB227C}"/>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147916" y="2245658"/>
              <a:ext cx="4997825" cy="9009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156.674454513886" createdVersion="8" refreshedVersion="8" minRefreshableVersion="3" recordCount="2928" xr:uid="{D23F0B05-0303-416D-87BE-D2AE3C9F946D}">
  <cacheSource type="worksheet">
    <worksheetSource ref="A1:D1048576" sheet="Raw Data"/>
  </cacheSource>
  <cacheFields count="4">
    <cacheField name="Store Name " numFmtId="0">
      <sharedItems containsBlank="1" count="27">
        <s v="El Tahrir"/>
        <s v="Haram"/>
        <s v="City Light"/>
        <s v="El Akkad"/>
        <s v="Sheraton"/>
        <s v="Mohandessin"/>
        <s v="Family Mall"/>
        <s v="Mobil-Sheraton"/>
        <s v="Ahram Mall"/>
        <s v="Nasr Road"/>
        <s v="Mossadak"/>
        <s v="Cilantro 9 ST"/>
        <s v="Zahran Smouha"/>
        <s v="Zamalek"/>
        <s v="Bibliotheque"/>
        <s v="EL Mesaha"/>
        <s v="Merghany"/>
        <s v="CO-OP Salah Salem"/>
        <s v="Downtown"/>
        <s v="Taqa West Somid"/>
        <s v="Gleem"/>
        <s v="Kolya Harbia"/>
        <s v="Total 90"/>
        <s v="COOP Roushdy"/>
        <s v="Rofayda Hospital"/>
        <s v="Nile City Towers"/>
        <m/>
      </sharedItems>
    </cacheField>
    <cacheField name="Area " numFmtId="0">
      <sharedItems containsBlank="1" count="6">
        <s v="Downtown"/>
        <s v="Heliopolis"/>
        <s v="October"/>
        <s v="Alexandria "/>
        <s v="New Cairo"/>
        <m/>
      </sharedItems>
    </cacheField>
    <cacheField name="Date " numFmtId="0">
      <sharedItems containsNonDate="0" containsDate="1" containsString="0" containsBlank="1" minDate="2021-04-01T00:00:00" maxDate="2021-08-01T00:00:00"/>
    </cacheField>
    <cacheField name="Revenue " numFmtId="0">
      <sharedItems containsString="0" containsBlank="1" containsNumber="1" minValue="0" maxValue="2602.4"/>
    </cacheField>
  </cacheFields>
  <extLst>
    <ext xmlns:x14="http://schemas.microsoft.com/office/spreadsheetml/2009/9/main" uri="{725AE2AE-9491-48be-B2B4-4EB974FC3084}">
      <x14:pivotCacheDefinition pivotCacheId="12466216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523972106479" backgroundQuery="1" createdVersion="8" refreshedVersion="8" minRefreshableVersion="3" recordCount="0" supportSubquery="1" supportAdvancedDrill="1" xr:uid="{49E7EDB2-1D0E-44A4-80F6-34AF81F29630}">
  <cacheSource type="external" connectionId="1"/>
  <cacheFields count="2">
    <cacheField name="[Range].[Date (Month)].[Date (Month)]" caption="Date (Month)" numFmtId="0" hierarchy="4" level="1">
      <sharedItems count="4">
        <s v="أبريل"/>
        <s v="مايو"/>
        <s v="يونيو"/>
        <s v="يوليو"/>
      </sharedItems>
    </cacheField>
    <cacheField name="[Measures].[Sum of Revenue]" caption="Sum of Revenue" numFmtId="0" hierarchy="13" level="32767"/>
  </cacheFields>
  <cacheHierarchies count="16">
    <cacheHierarchy uniqueName="[Range].[Store Name]" caption="Store Name" attribute="1" defaultMemberUniqueName="[Range].[Store Name].[All]" allUniqueName="[Range].[Store Name].[All]" dimensionUniqueName="[Range]" displayFolder="" count="2" memberValueDatatype="130" unbalanced="0"/>
    <cacheHierarchy uniqueName="[Range].[Area]" caption="Area" attribute="1" defaultMemberUniqueName="[Range].[Area].[All]" allUniqueName="[Range].[Area].[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Revenue]" caption="Revenue" attribute="1" defaultMemberUniqueName="[Range].[Revenue].[All]" allUniqueName="[Range].[Revenue].[All]" dimensionUniqueName="[Range]" displayFolder="" count="2" memberValueDatatype="5"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0"/>
      </fieldsUsage>
    </cacheHierarchy>
    <cacheHierarchy uniqueName="[Range 1].[Area]" caption="Area" attribute="1" defaultMemberUniqueName="[Range 1].[Area].[All]" allUniqueName="[Range 1].[Area].[All]" dimensionUniqueName="[Range 1]" displayFolder="" count="2" memberValueDatatype="130" unbalanced="0"/>
    <cacheHierarchy uniqueName="[Range 1].[Date]" caption="Date" attribute="1" time="1" defaultMemberUniqueName="[Range 1].[Date].[All]" allUniqueName="[Range 1].[Date].[All]" dimensionUniqueName="[Range 1]" displayFolder="" count="2" memberValueDatatype="7" unbalanced="0"/>
    <cacheHierarchy uniqueName="[Range 1].[Revenue]" caption="Revenue" attribute="1" defaultMemberUniqueName="[Range 1].[Revenue].[All]" allUniqueName="[Range 1].[Revenue].[All]" dimensionUniqueName="[Range 1]" displayFolder="" count="2" memberValueDatatype="5" unbalanced="0"/>
    <cacheHierarchy uniqueName="[Range].[Date (Month Index)]" caption="Date (Month Index)" attribute="1" defaultMemberUniqueName="[Range].[Date (Month Index)].[All]" allUniqueName="[Range].[Date (Month Index)].[All]" dimensionUniqueName="[Range]" displayFolder="" count="2"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Store Name]" caption="Count of Store Name" measure="1" displayFolder="" measureGroup="Range"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Distinct Count of Store Name]" caption="Distinct Count of Store Name" measure="1" displayFolder="" measureGroup="Range" count="0" hidden="1">
      <extLst>
        <ext xmlns:x15="http://schemas.microsoft.com/office/spreadsheetml/2010/11/main" uri="{B97F6D7D-B522-45F9-BDA1-12C45D357490}">
          <x15:cacheHierarchy aggregatedColumn="0"/>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523972916664" backgroundQuery="1" createdVersion="8" refreshedVersion="8" minRefreshableVersion="3" recordCount="0" supportSubquery="1" supportAdvancedDrill="1" xr:uid="{DE8EB02E-5CD0-4A62-A3D6-A383EEBA437C}">
  <cacheSource type="external" connectionId="1"/>
  <cacheFields count="3">
    <cacheField name="[Range].[Area].[Area]" caption="Area" numFmtId="0" hierarchy="1" level="1">
      <sharedItems count="5">
        <s v="Alexandria"/>
        <s v="Downtown"/>
        <s v="Heliopolis"/>
        <s v="New Cairo"/>
        <s v="October"/>
      </sharedItems>
    </cacheField>
    <cacheField name="[Measures].[Sum of Revenue]" caption="Sum of Revenue" numFmtId="0" hierarchy="13" level="32767"/>
    <cacheField name="[Range].[Date (Month)].[Date (Month)]" caption="Date (Month)" numFmtId="0" hierarchy="4" level="1">
      <sharedItems containsSemiMixedTypes="0" containsNonDate="0" containsString="0"/>
    </cacheField>
  </cacheFields>
  <cacheHierarchies count="16">
    <cacheHierarchy uniqueName="[Range].[Store Name]" caption="Store Name" attribute="1" defaultMemberUniqueName="[Range].[Store Name].[All]" allUniqueName="[Range].[Store Name].[All]" dimensionUniqueName="[Range]" displayFolder="" count="0" memberValueDatatype="130" unbalanced="0"/>
    <cacheHierarchy uniqueName="[Range].[Area]" caption="Area" attribute="1" defaultMemberUniqueName="[Range].[Area].[All]" allUniqueName="[Range].[Area].[All]" dimensionUniqueName="[Range]" displayFolder="" count="2" memberValueDatatype="130" unbalanced="0">
      <fieldsUsage count="2">
        <fieldUsage x="-1"/>
        <fieldUsage x="0"/>
      </fieldsUsage>
    </cacheHierarchy>
    <cacheHierarchy uniqueName="[Range].[Date]" caption="Date" attribute="1" time="1" defaultMemberUniqueName="[Range].[Date].[All]" allUniqueName="[Range].[Date].[All]" dimensionUniqueName="[Range]" displayFolder="" count="0" memberValueDatatype="7" unbalanced="0"/>
    <cacheHierarchy uniqueName="[Range].[Revenue]" caption="Revenue" attribute="1" defaultMemberUniqueName="[Range].[Revenue].[All]" allUniqueName="[Range].[Revenue].[All]" dimensionUniqueName="[Range]" displayFolder="" count="0" memberValueDatatype="5"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2"/>
      </fieldsUsage>
    </cacheHierarchy>
    <cacheHierarchy uniqueName="[Range 1].[Area]" caption="Area" attribute="1" defaultMemberUniqueName="[Range 1].[Area].[All]" allUniqueName="[Range 1].[Area].[All]" dimensionUniqueName="[Range 1]"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Revenue]" caption="Revenue" attribute="1" defaultMemberUniqueName="[Range 1].[Revenue].[All]" allUniqueName="[Range 1].[Revenue].[All]" dimensionUniqueName="[Range 1]" displayFolder="" count="0" memberValueDatatype="5"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Store Name]" caption="Count of Store Name" measure="1" displayFolder="" measureGroup="Range"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Distinct Count of Store Name]" caption="Distinct Count of Store Name" measure="1" displayFolder="" measureGroup="Range" count="0" hidden="1">
      <extLst>
        <ext xmlns:x15="http://schemas.microsoft.com/office/spreadsheetml/2010/11/main" uri="{B97F6D7D-B522-45F9-BDA1-12C45D357490}">
          <x15:cacheHierarchy aggregatedColumn="0"/>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523973495372" backgroundQuery="1" createdVersion="8" refreshedVersion="8" minRefreshableVersion="3" recordCount="0" supportSubquery="1" supportAdvancedDrill="1" xr:uid="{2BD7655E-1AD2-4782-819E-6AAF9A4B858E}">
  <cacheSource type="external" connectionId="1"/>
  <cacheFields count="3">
    <cacheField name="[Range].[Store Name].[Store Name]" caption="Store Name" numFmtId="0" level="1">
      <sharedItems count="5">
        <s v="Cilantro 9 ST"/>
        <s v="City Light"/>
        <s v="El Akkad"/>
        <s v="El Tahrir"/>
        <s v="Total 90"/>
      </sharedItems>
    </cacheField>
    <cacheField name="[Measures].[Sum of Revenue]" caption="Sum of Revenue" numFmtId="0" hierarchy="13" level="32767"/>
    <cacheField name="[Range].[Date (Month)].[Date (Month)]" caption="Date (Month)" numFmtId="0" hierarchy="4" level="1">
      <sharedItems containsSemiMixedTypes="0" containsNonDate="0" containsString="0"/>
    </cacheField>
  </cacheFields>
  <cacheHierarchies count="16">
    <cacheHierarchy uniqueName="[Range].[Store Name]" caption="Store Name" attribute="1" defaultMemberUniqueName="[Range].[Store Name].[All]" allUniqueName="[Range].[Store Name].[All]" dimensionUniqueName="[Range]" displayFolder="" count="2" memberValueDatatype="130" unbalanced="0">
      <fieldsUsage count="2">
        <fieldUsage x="-1"/>
        <fieldUsage x="0"/>
      </fieldsUsage>
    </cacheHierarchy>
    <cacheHierarchy uniqueName="[Range].[Area]" caption="Area" attribute="1" defaultMemberUniqueName="[Range].[Area].[All]" allUniqueName="[Range].[Area].[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Revenue]" caption="Revenue" attribute="1" defaultMemberUniqueName="[Range].[Revenue].[All]" allUniqueName="[Range].[Revenue].[All]" dimensionUniqueName="[Range]" displayFolder="" count="2" memberValueDatatype="5"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2"/>
      </fieldsUsage>
    </cacheHierarchy>
    <cacheHierarchy uniqueName="[Range 1].[Area]" caption="Area" attribute="1" defaultMemberUniqueName="[Range 1].[Area].[All]" allUniqueName="[Range 1].[Area].[All]" dimensionUniqueName="[Range 1]" displayFolder="" count="2" memberValueDatatype="130" unbalanced="0"/>
    <cacheHierarchy uniqueName="[Range 1].[Date]" caption="Date" attribute="1" time="1" defaultMemberUniqueName="[Range 1].[Date].[All]" allUniqueName="[Range 1].[Date].[All]" dimensionUniqueName="[Range 1]" displayFolder="" count="2" memberValueDatatype="7" unbalanced="0"/>
    <cacheHierarchy uniqueName="[Range 1].[Revenue]" caption="Revenue" attribute="1" defaultMemberUniqueName="[Range 1].[Revenue].[All]" allUniqueName="[Range 1].[Revenue].[All]" dimensionUniqueName="[Range 1]" displayFolder="" count="2" memberValueDatatype="5" unbalanced="0"/>
    <cacheHierarchy uniqueName="[Range].[Date (Month Index)]" caption="Date (Month Index)" attribute="1" defaultMemberUniqueName="[Range].[Date (Month Index)].[All]" allUniqueName="[Range].[Date (Month Index)].[All]" dimensionUniqueName="[Range]" displayFolder="" count="2"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Store Name]" caption="Count of Store Name" measure="1" displayFolder="" measureGroup="Range"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Distinct Count of Store Name]" caption="Distinct Count of Store Name" measure="1" displayFolder="" measureGroup="Range" count="0" hidden="1">
      <extLst>
        <ext xmlns:x15="http://schemas.microsoft.com/office/spreadsheetml/2010/11/main" uri="{B97F6D7D-B522-45F9-BDA1-12C45D357490}">
          <x15:cacheHierarchy aggregatedColumn="0"/>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523974189811" backgroundQuery="1" createdVersion="8" refreshedVersion="8" minRefreshableVersion="3" recordCount="0" supportSubquery="1" supportAdvancedDrill="1" xr:uid="{F637E10F-3FEC-4252-83C5-6DCE3D342F1D}">
  <cacheSource type="external" connectionId="1"/>
  <cacheFields count="4">
    <cacheField name="[Range].[Area].[Area]" caption="Area" numFmtId="0" hierarchy="1" level="1">
      <sharedItems containsSemiMixedTypes="0" containsNonDate="0" containsString="0"/>
    </cacheField>
    <cacheField name="[Range].[Store Name].[Store Name]" caption="Store Name" numFmtId="0" level="1">
      <sharedItems count="5">
        <s v="Cilantro 9 ST"/>
        <s v="City Light"/>
        <s v="El Akkad"/>
        <s v="El Tahrir"/>
        <s v="Total 90"/>
      </sharedItems>
    </cacheField>
    <cacheField name="[Measures].[Sum of Revenue]" caption="Sum of Revenue" numFmtId="0" hierarchy="13" level="32767"/>
    <cacheField name="[Range].[Date (Month)].[Date (Month)]" caption="Date (Month)" numFmtId="0" hierarchy="4" level="1">
      <sharedItems containsSemiMixedTypes="0" containsNonDate="0" containsString="0"/>
    </cacheField>
  </cacheFields>
  <cacheHierarchies count="16">
    <cacheHierarchy uniqueName="[Range].[Store Name]" caption="Store Name" attribute="1" defaultMemberUniqueName="[Range].[Store Name].[All]" allUniqueName="[Range].[Store Name].[All]" dimensionUniqueName="[Range]" displayFolder="" count="2" memberValueDatatype="130" unbalanced="0">
      <fieldsUsage count="2">
        <fieldUsage x="-1"/>
        <fieldUsage x="1"/>
      </fieldsUsage>
    </cacheHierarchy>
    <cacheHierarchy uniqueName="[Range].[Area]" caption="Area" attribute="1" defaultMemberUniqueName="[Range].[Area].[All]" allUniqueName="[Range].[Area].[All]" dimensionUniqueName="[Range]" displayFolder="" count="2" memberValueDatatype="130" unbalanced="0">
      <fieldsUsage count="2">
        <fieldUsage x="-1"/>
        <fieldUsage x="0"/>
      </fieldsUsage>
    </cacheHierarchy>
    <cacheHierarchy uniqueName="[Range].[Date]" caption="Date" attribute="1" time="1" defaultMemberUniqueName="[Range].[Date].[All]" allUniqueName="[Range].[Date].[All]" dimensionUniqueName="[Range]" displayFolder="" count="0" memberValueDatatype="7" unbalanced="0"/>
    <cacheHierarchy uniqueName="[Range].[Revenue]" caption="Revenue" attribute="1" defaultMemberUniqueName="[Range].[Revenue].[All]" allUniqueName="[Range].[Revenue].[All]" dimensionUniqueName="[Range]" displayFolder="" count="0" memberValueDatatype="5"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3"/>
      </fieldsUsage>
    </cacheHierarchy>
    <cacheHierarchy uniqueName="[Range 1].[Area]" caption="Area" attribute="1" defaultMemberUniqueName="[Range 1].[Area].[All]" allUniqueName="[Range 1].[Area].[All]" dimensionUniqueName="[Range 1]"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Revenue]" caption="Revenue" attribute="1" defaultMemberUniqueName="[Range 1].[Revenue].[All]" allUniqueName="[Range 1].[Revenue].[All]" dimensionUniqueName="[Range 1]" displayFolder="" count="0" memberValueDatatype="5"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Store Name]" caption="Count of Store Name" measure="1" displayFolder="" measureGroup="Range"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Range" count="0" oneField="1" hidden="1">
      <fieldsUsage count="1">
        <fieldUsage x="2"/>
      </fieldsUsage>
      <extLst>
        <ext xmlns:x15="http://schemas.microsoft.com/office/spreadsheetml/2010/11/main" uri="{B97F6D7D-B522-45F9-BDA1-12C45D357490}">
          <x15:cacheHierarchy aggregatedColumn="3"/>
        </ext>
      </extLst>
    </cacheHierarchy>
    <cacheHierarchy uniqueName="[Measures].[Distinct Count of Store Name]" caption="Distinct Count of Store Name" measure="1" displayFolder="" measureGroup="Range" count="0" hidden="1">
      <extLst>
        <ext xmlns:x15="http://schemas.microsoft.com/office/spreadsheetml/2010/11/main" uri="{B97F6D7D-B522-45F9-BDA1-12C45D357490}">
          <x15:cacheHierarchy aggregatedColumn="0"/>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523974537035" backgroundQuery="1" createdVersion="8" refreshedVersion="8" minRefreshableVersion="3" recordCount="0" supportSubquery="1" supportAdvancedDrill="1" xr:uid="{4B3C9EA1-B947-4368-A0B3-5B391BCA8825}">
  <cacheSource type="external" connectionId="1"/>
  <cacheFields count="3">
    <cacheField name="[Measures].[Sum of Revenue]" caption="Sum of Revenue" numFmtId="0" hierarchy="13" level="32767"/>
    <cacheField name="[Measures].[Distinct Count of Store Name]" caption="Distinct Count of Store Name" numFmtId="0" hierarchy="14" level="32767"/>
    <cacheField name="[Range].[Date (Month)].[Date (Month)]" caption="Date (Month)" numFmtId="0" hierarchy="4" level="1">
      <sharedItems containsSemiMixedTypes="0" containsNonDate="0" containsString="0"/>
    </cacheField>
  </cacheFields>
  <cacheHierarchies count="16">
    <cacheHierarchy uniqueName="[Range].[Store Name]" caption="Store Name" attribute="1" defaultMemberUniqueName="[Range].[Store Name].[All]" allUniqueName="[Range].[Store Name].[All]" dimensionUniqueName="[Range]" displayFolder="" count="0" memberValueDatatype="130" unbalanced="0"/>
    <cacheHierarchy uniqueName="[Range].[Area]" caption="Area" attribute="1" defaultMemberUniqueName="[Range].[Area].[All]" allUniqueName="[Range].[Area].[All]" dimensionUniqueName="[Range]" displayFolder="" count="2" memberValueDatatype="130" unbalanced="0"/>
    <cacheHierarchy uniqueName="[Range].[Date]" caption="Date" attribute="1" time="1" defaultMemberUniqueName="[Range].[Date].[All]" allUniqueName="[Range].[Date].[All]" dimensionUniqueName="[Range]" displayFolder="" count="0" memberValueDatatype="7" unbalanced="0"/>
    <cacheHierarchy uniqueName="[Range].[Revenue]" caption="Revenue" attribute="1" defaultMemberUniqueName="[Range].[Revenue].[All]" allUniqueName="[Range].[Revenue].[All]" dimensionUniqueName="[Range]" displayFolder="" count="0" memberValueDatatype="5"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2"/>
      </fieldsUsage>
    </cacheHierarchy>
    <cacheHierarchy uniqueName="[Range 1].[Area]" caption="Area" attribute="1" defaultMemberUniqueName="[Range 1].[Area].[All]" allUniqueName="[Range 1].[Area].[All]" dimensionUniqueName="[Range 1]"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Revenue]" caption="Revenue" attribute="1" defaultMemberUniqueName="[Range 1].[Revenue].[All]" allUniqueName="[Range 1].[Revenue].[All]" dimensionUniqueName="[Range 1]" displayFolder="" count="0" memberValueDatatype="5"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Store Name]" caption="Count of Store Name" measure="1" displayFolder="" measureGroup="Range"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Range" count="0" oneField="1" hidden="1">
      <fieldsUsage count="1">
        <fieldUsage x="0"/>
      </fieldsUsage>
      <extLst>
        <ext xmlns:x15="http://schemas.microsoft.com/office/spreadsheetml/2010/11/main" uri="{B97F6D7D-B522-45F9-BDA1-12C45D357490}">
          <x15:cacheHierarchy aggregatedColumn="3"/>
        </ext>
      </extLst>
    </cacheHierarchy>
    <cacheHierarchy uniqueName="[Measures].[Distinct Count of Store Name]" caption="Distinct Count of Store Name"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969.523975231481" backgroundQuery="1" createdVersion="8" refreshedVersion="8" minRefreshableVersion="3" recordCount="0" supportSubquery="1" supportAdvancedDrill="1" xr:uid="{53018E06-274B-4BC9-9CC9-C8F473900F9E}">
  <cacheSource type="external" connectionId="1"/>
  <cacheFields count="3">
    <cacheField name="[Range].[Store Name].[Store Name]" caption="Store Name" numFmtId="0" level="1">
      <sharedItems count="26">
        <s v="Ahram Mall"/>
        <s v="Bibliotheque"/>
        <s v="Cilantro 9 ST"/>
        <s v="City Light"/>
        <s v="COOP Roushdy"/>
        <s v="CO-OP Salah Salem"/>
        <s v="Downtown"/>
        <s v="El Akkad"/>
        <s v="EL Mesaha"/>
        <s v="El Tahrir"/>
        <s v="Family Mall"/>
        <s v="Gleem"/>
        <s v="Haram"/>
        <s v="Kolya Harbia"/>
        <s v="Merghany"/>
        <s v="Mobil-Sheraton"/>
        <s v="Mohandessin"/>
        <s v="Mossadak"/>
        <s v="Nasr Road"/>
        <s v="Nile City Towers"/>
        <s v="Rofayda Hospital"/>
        <s v="Sheraton"/>
        <s v="Taqa West Somid"/>
        <s v="Total 90"/>
        <s v="Zahran Smouha"/>
        <s v="Zamalek"/>
      </sharedItems>
    </cacheField>
    <cacheField name="[Measures].[Sum of Revenue]" caption="Sum of Revenue" numFmtId="0" hierarchy="13" level="32767"/>
    <cacheField name="[Range].[Date (Month)].[Date (Month)]" caption="Date (Month)" numFmtId="0" hierarchy="4" level="1">
      <sharedItems containsSemiMixedTypes="0" containsNonDate="0" containsString="0"/>
    </cacheField>
  </cacheFields>
  <cacheHierarchies count="16">
    <cacheHierarchy uniqueName="[Range].[Store Name]" caption="Store Name" attribute="1" defaultMemberUniqueName="[Range].[Store Name].[All]" allUniqueName="[Range].[Store Name].[All]" dimensionUniqueName="[Range]" displayFolder="" count="2" memberValueDatatype="130" unbalanced="0">
      <fieldsUsage count="2">
        <fieldUsage x="-1"/>
        <fieldUsage x="0"/>
      </fieldsUsage>
    </cacheHierarchy>
    <cacheHierarchy uniqueName="[Range].[Area]" caption="Area" attribute="1" defaultMemberUniqueName="[Range].[Area].[All]" allUniqueName="[Range].[Area].[All]" dimensionUniqueName="[Range]" displayFolder="" count="2" memberValueDatatype="130" unbalanced="0"/>
    <cacheHierarchy uniqueName="[Range].[Date]" caption="Date" attribute="1" time="1" defaultMemberUniqueName="[Range].[Date].[All]" allUniqueName="[Range].[Date].[All]" dimensionUniqueName="[Range]" displayFolder="" count="0" memberValueDatatype="7" unbalanced="0"/>
    <cacheHierarchy uniqueName="[Range].[Revenue]" caption="Revenue" attribute="1" defaultMemberUniqueName="[Range].[Revenue].[All]" allUniqueName="[Range].[Revenue].[All]" dimensionUniqueName="[Range]" displayFolder="" count="0" memberValueDatatype="5"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2"/>
      </fieldsUsage>
    </cacheHierarchy>
    <cacheHierarchy uniqueName="[Range 1].[Area]" caption="Area" attribute="1" defaultMemberUniqueName="[Range 1].[Area].[All]" allUniqueName="[Range 1].[Area].[All]" dimensionUniqueName="[Range 1]" displayFolder="" count="0"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Revenue]" caption="Revenue" attribute="1" defaultMemberUniqueName="[Range 1].[Revenue].[All]" allUniqueName="[Range 1].[Revenue].[All]" dimensionUniqueName="[Range 1]" displayFolder="" count="0" memberValueDatatype="5"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Store Name]" caption="Count of Store Name" measure="1" displayFolder="" measureGroup="Range"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Distinct Count of Store Name]" caption="Distinct Count of Store Name" measure="1" displayFolder="" measureGroup="Range" count="0" hidden="1">
      <extLst>
        <ext xmlns:x15="http://schemas.microsoft.com/office/spreadsheetml/2010/11/main" uri="{B97F6D7D-B522-45F9-BDA1-12C45D357490}">
          <x15:cacheHierarchy aggregatedColumn="0"/>
        </ext>
      </extLst>
    </cacheHierarchy>
    <cacheHierarchy uniqueName="[Measures].[Sum of Revenue 2]" caption="Sum of Revenue 2" measure="1" displayFolder="" measureGroup="Range 1" count="0" hidden="1">
      <extLst>
        <ext xmlns:x15="http://schemas.microsoft.com/office/spreadsheetml/2010/11/main" uri="{B97F6D7D-B522-45F9-BDA1-12C45D357490}">
          <x15:cacheHierarchy aggregatedColumn="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148.040295023151" backgroundQuery="1" createdVersion="3" refreshedVersion="8" minRefreshableVersion="3" recordCount="0" supportSubquery="1" supportAdvancedDrill="1" xr:uid="{80C290E6-BC05-437D-9216-68350734F7B4}">
  <cacheSource type="external" connectionId="1">
    <extLst>
      <ext xmlns:x14="http://schemas.microsoft.com/office/spreadsheetml/2009/9/main" uri="{F057638F-6D5F-4e77-A914-E7F072B9BCA8}">
        <x14:sourceConnection name="ThisWorkbookDataModel"/>
      </ext>
    </extLst>
  </cacheSource>
  <cacheFields count="0"/>
  <cacheHierarchies count="15">
    <cacheHierarchy uniqueName="[Range].[Store Name]" caption="Store Name" attribute="1" defaultMemberUniqueName="[Range].[Store Name].[All]" allUniqueName="[Range].[Store Name].[All]" dimensionUniqueName="[Range]" displayFolder="" count="0" memberValueDatatype="130" unbalanced="0"/>
    <cacheHierarchy uniqueName="[Range].[Area]" caption="Area" attribute="1" defaultMemberUniqueName="[Range].[Area].[All]" allUniqueName="[Range].[Area].[All]" dimensionUniqueName="[Range]" displayFolder="" count="0" memberValueDatatype="130" unbalanced="0"/>
    <cacheHierarchy uniqueName="[Range].[Date]" caption="Date" attribute="1" time="1" defaultMemberUniqueName="[Range].[Date].[All]" allUniqueName="[Range].[Date].[All]" dimensionUniqueName="[Range]" displayFolder="" count="2" memberValueDatatype="7" unbalanced="0"/>
    <cacheHierarchy uniqueName="[Range].[Revenue]" caption="Revenue" attribute="1" defaultMemberUniqueName="[Range].[Revenue].[All]" allUniqueName="[Range].[Revenue].[All]" dimensionUniqueName="[Range]" displayFolder="" count="0" memberValueDatatype="5" unbalanced="0"/>
    <cacheHierarchy uniqueName="[Range].[Date (Month)]" caption="Date (Month)" attribute="1" defaultMemberUniqueName="[Range].[Date (Month)].[All]" allUniqueName="[Range].[Date (Month)].[All]" dimensionUniqueName="[Range]" displayFolder="" count="2" memberValueDatatype="130" unbalanced="0"/>
    <cacheHierarchy uniqueName="[Range 1].[Area]" caption="Area" attribute="1" defaultMemberUniqueName="[Range 1].[Area].[All]" allUniqueName="[Range 1].[Area].[All]" dimensionUniqueName="[Range 1]" displayFolder="" count="2" memberValueDatatype="130" unbalanced="0"/>
    <cacheHierarchy uniqueName="[Range 1].[Date]" caption="Date" attribute="1" time="1" defaultMemberUniqueName="[Range 1].[Date].[All]" allUniqueName="[Range 1].[Date].[All]" dimensionUniqueName="[Range 1]" displayFolder="" count="0" memberValueDatatype="7" unbalanced="0"/>
    <cacheHierarchy uniqueName="[Range 1].[Revenue]" caption="Revenue" attribute="1" defaultMemberUniqueName="[Range 1].[Revenue].[All]" allUniqueName="[Range 1].[Revenue].[All]" dimensionUniqueName="[Range 1]" displayFolder="" count="0" memberValueDatatype="5"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Store Name]" caption="Count of Store Name" measure="1" displayFolder="" measureGroup="Range" count="0" hidden="1">
      <extLst>
        <ext xmlns:x15="http://schemas.microsoft.com/office/spreadsheetml/2010/11/main" uri="{B97F6D7D-B522-45F9-BDA1-12C45D357490}">
          <x15:cacheHierarchy aggregatedColumn="0"/>
        </ext>
      </extLst>
    </cacheHierarchy>
    <cacheHierarchy uniqueName="[Measures].[Sum of Revenue]" caption="Sum of Revenue" measure="1" displayFolder="" measureGroup="Range" count="0" hidden="1">
      <extLst>
        <ext xmlns:x15="http://schemas.microsoft.com/office/spreadsheetml/2010/11/main" uri="{B97F6D7D-B522-45F9-BDA1-12C45D357490}">
          <x15:cacheHierarchy aggregatedColumn="3"/>
        </ext>
      </extLst>
    </cacheHierarchy>
    <cacheHierarchy uniqueName="[Measures].[Distinct Count of Store Name]" caption="Distinct Count of Store Name" measure="1" displayFolder="" measureGroup="Range" count="0" hidden="1">
      <extLst>
        <ext xmlns:x15="http://schemas.microsoft.com/office/spreadsheetml/2010/11/main" uri="{B97F6D7D-B522-45F9-BDA1-12C45D357490}">
          <x15:cacheHierarchy aggregatedColumn="0"/>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licerData="1" pivotCacheId="586840585"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28">
  <r>
    <x v="0"/>
    <x v="0"/>
    <d v="2021-04-01T00:00:00"/>
    <n v="1197.6000000000001"/>
  </r>
  <r>
    <x v="1"/>
    <x v="0"/>
    <d v="2021-04-01T00:00:00"/>
    <n v="1050.4000000000001"/>
  </r>
  <r>
    <x v="2"/>
    <x v="1"/>
    <d v="2021-04-01T00:00:00"/>
    <n v="822"/>
  </r>
  <r>
    <x v="3"/>
    <x v="1"/>
    <d v="2021-04-01T00:00:00"/>
    <n v="815.2"/>
  </r>
  <r>
    <x v="4"/>
    <x v="1"/>
    <d v="2021-04-01T00:00:00"/>
    <n v="751.6"/>
  </r>
  <r>
    <x v="5"/>
    <x v="0"/>
    <d v="2021-04-01T00:00:00"/>
    <n v="726.40000000000009"/>
  </r>
  <r>
    <x v="6"/>
    <x v="2"/>
    <d v="2021-04-01T00:00:00"/>
    <n v="595.6"/>
  </r>
  <r>
    <x v="7"/>
    <x v="1"/>
    <d v="2021-04-01T00:00:00"/>
    <n v="561.20000000000005"/>
  </r>
  <r>
    <x v="8"/>
    <x v="2"/>
    <d v="2021-04-01T00:00:00"/>
    <n v="548.80000000000007"/>
  </r>
  <r>
    <x v="9"/>
    <x v="0"/>
    <d v="2021-04-01T00:00:00"/>
    <n v="509.20000000000005"/>
  </r>
  <r>
    <x v="10"/>
    <x v="0"/>
    <d v="2021-04-01T00:00:00"/>
    <n v="506.8"/>
  </r>
  <r>
    <x v="11"/>
    <x v="0"/>
    <d v="2021-04-01T00:00:00"/>
    <n v="480"/>
  </r>
  <r>
    <x v="12"/>
    <x v="3"/>
    <d v="2021-04-01T00:00:00"/>
    <n v="431.6"/>
  </r>
  <r>
    <x v="13"/>
    <x v="0"/>
    <d v="2021-04-01T00:00:00"/>
    <n v="358.40000000000003"/>
  </r>
  <r>
    <x v="14"/>
    <x v="3"/>
    <d v="2021-04-01T00:00:00"/>
    <n v="324.8"/>
  </r>
  <r>
    <x v="15"/>
    <x v="0"/>
    <d v="2021-04-01T00:00:00"/>
    <n v="294"/>
  </r>
  <r>
    <x v="16"/>
    <x v="1"/>
    <d v="2021-04-01T00:00:00"/>
    <n v="234.8"/>
  </r>
  <r>
    <x v="17"/>
    <x v="1"/>
    <d v="2021-04-01T00:00:00"/>
    <n v="216.8"/>
  </r>
  <r>
    <x v="18"/>
    <x v="4"/>
    <d v="2021-04-01T00:00:00"/>
    <n v="214.4"/>
  </r>
  <r>
    <x v="19"/>
    <x v="2"/>
    <d v="2021-04-01T00:00:00"/>
    <n v="186.4"/>
  </r>
  <r>
    <x v="20"/>
    <x v="3"/>
    <d v="2021-04-01T00:00:00"/>
    <n v="156"/>
  </r>
  <r>
    <x v="21"/>
    <x v="1"/>
    <d v="2021-04-01T00:00:00"/>
    <n v="34.4"/>
  </r>
  <r>
    <x v="22"/>
    <x v="4"/>
    <d v="2021-04-01T00:00:00"/>
    <n v="1847.2"/>
  </r>
  <r>
    <x v="22"/>
    <x v="4"/>
    <d v="2021-04-02T00:00:00"/>
    <n v="1084.4000000000001"/>
  </r>
  <r>
    <x v="3"/>
    <x v="1"/>
    <d v="2021-04-02T00:00:00"/>
    <n v="790.40000000000009"/>
  </r>
  <r>
    <x v="1"/>
    <x v="0"/>
    <d v="2021-04-02T00:00:00"/>
    <n v="782.80000000000007"/>
  </r>
  <r>
    <x v="9"/>
    <x v="0"/>
    <d v="2021-04-02T00:00:00"/>
    <n v="530"/>
  </r>
  <r>
    <x v="0"/>
    <x v="0"/>
    <d v="2021-04-02T00:00:00"/>
    <n v="515.20000000000005"/>
  </r>
  <r>
    <x v="2"/>
    <x v="1"/>
    <d v="2021-04-02T00:00:00"/>
    <n v="514.4"/>
  </r>
  <r>
    <x v="12"/>
    <x v="3"/>
    <d v="2021-04-02T00:00:00"/>
    <n v="502"/>
  </r>
  <r>
    <x v="6"/>
    <x v="2"/>
    <d v="2021-04-02T00:00:00"/>
    <n v="476.40000000000003"/>
  </r>
  <r>
    <x v="8"/>
    <x v="2"/>
    <d v="2021-04-02T00:00:00"/>
    <n v="449.6"/>
  </r>
  <r>
    <x v="5"/>
    <x v="0"/>
    <d v="2021-04-02T00:00:00"/>
    <n v="408"/>
  </r>
  <r>
    <x v="4"/>
    <x v="1"/>
    <d v="2021-04-02T00:00:00"/>
    <n v="405.6"/>
  </r>
  <r>
    <x v="10"/>
    <x v="0"/>
    <d v="2021-04-02T00:00:00"/>
    <n v="260.40000000000003"/>
  </r>
  <r>
    <x v="14"/>
    <x v="3"/>
    <d v="2021-04-02T00:00:00"/>
    <n v="258"/>
  </r>
  <r>
    <x v="15"/>
    <x v="0"/>
    <d v="2021-04-02T00:00:00"/>
    <n v="247.60000000000002"/>
  </r>
  <r>
    <x v="17"/>
    <x v="1"/>
    <d v="2021-04-02T00:00:00"/>
    <n v="174.4"/>
  </r>
  <r>
    <x v="20"/>
    <x v="3"/>
    <d v="2021-04-02T00:00:00"/>
    <n v="170"/>
  </r>
  <r>
    <x v="16"/>
    <x v="1"/>
    <d v="2021-04-02T00:00:00"/>
    <n v="158.4"/>
  </r>
  <r>
    <x v="18"/>
    <x v="4"/>
    <d v="2021-04-02T00:00:00"/>
    <n v="140.4"/>
  </r>
  <r>
    <x v="11"/>
    <x v="0"/>
    <d v="2021-04-02T00:00:00"/>
    <n v="130.4"/>
  </r>
  <r>
    <x v="13"/>
    <x v="0"/>
    <d v="2021-04-02T00:00:00"/>
    <n v="129.20000000000002"/>
  </r>
  <r>
    <x v="21"/>
    <x v="1"/>
    <d v="2021-04-02T00:00:00"/>
    <n v="80.400000000000006"/>
  </r>
  <r>
    <x v="7"/>
    <x v="1"/>
    <d v="2021-04-02T00:00:00"/>
    <n v="66.8"/>
  </r>
  <r>
    <x v="19"/>
    <x v="2"/>
    <d v="2021-04-02T00:00:00"/>
    <n v="51.2"/>
  </r>
  <r>
    <x v="22"/>
    <x v="4"/>
    <d v="2021-04-03T00:00:00"/>
    <n v="1486.8000000000002"/>
  </r>
  <r>
    <x v="3"/>
    <x v="1"/>
    <d v="2021-04-03T00:00:00"/>
    <n v="1098.8"/>
  </r>
  <r>
    <x v="9"/>
    <x v="0"/>
    <d v="2021-04-03T00:00:00"/>
    <n v="701.6"/>
  </r>
  <r>
    <x v="8"/>
    <x v="2"/>
    <d v="2021-04-03T00:00:00"/>
    <n v="571.6"/>
  </r>
  <r>
    <x v="1"/>
    <x v="0"/>
    <d v="2021-04-03T00:00:00"/>
    <n v="509.6"/>
  </r>
  <r>
    <x v="15"/>
    <x v="0"/>
    <d v="2021-04-03T00:00:00"/>
    <n v="484"/>
  </r>
  <r>
    <x v="0"/>
    <x v="0"/>
    <d v="2021-04-03T00:00:00"/>
    <n v="391.20000000000005"/>
  </r>
  <r>
    <x v="6"/>
    <x v="2"/>
    <d v="2021-04-03T00:00:00"/>
    <n v="379.20000000000005"/>
  </r>
  <r>
    <x v="4"/>
    <x v="1"/>
    <d v="2021-04-03T00:00:00"/>
    <n v="369.20000000000005"/>
  </r>
  <r>
    <x v="11"/>
    <x v="0"/>
    <d v="2021-04-03T00:00:00"/>
    <n v="335.20000000000005"/>
  </r>
  <r>
    <x v="5"/>
    <x v="0"/>
    <d v="2021-04-03T00:00:00"/>
    <n v="313.20000000000005"/>
  </r>
  <r>
    <x v="10"/>
    <x v="0"/>
    <d v="2021-04-03T00:00:00"/>
    <n v="294.40000000000003"/>
  </r>
  <r>
    <x v="12"/>
    <x v="3"/>
    <d v="2021-04-03T00:00:00"/>
    <n v="285.60000000000002"/>
  </r>
  <r>
    <x v="14"/>
    <x v="3"/>
    <d v="2021-04-03T00:00:00"/>
    <n v="269.2"/>
  </r>
  <r>
    <x v="21"/>
    <x v="1"/>
    <d v="2021-04-03T00:00:00"/>
    <n v="212.8"/>
  </r>
  <r>
    <x v="7"/>
    <x v="1"/>
    <d v="2021-04-03T00:00:00"/>
    <n v="166"/>
  </r>
  <r>
    <x v="20"/>
    <x v="3"/>
    <d v="2021-04-03T00:00:00"/>
    <n v="142"/>
  </r>
  <r>
    <x v="13"/>
    <x v="0"/>
    <d v="2021-04-03T00:00:00"/>
    <n v="121.2"/>
  </r>
  <r>
    <x v="16"/>
    <x v="1"/>
    <d v="2021-04-03T00:00:00"/>
    <n v="94.800000000000011"/>
  </r>
  <r>
    <x v="18"/>
    <x v="4"/>
    <d v="2021-04-03T00:00:00"/>
    <n v="67.2"/>
  </r>
  <r>
    <x v="19"/>
    <x v="2"/>
    <d v="2021-04-03T00:00:00"/>
    <n v="67.2"/>
  </r>
  <r>
    <x v="2"/>
    <x v="1"/>
    <d v="2021-04-03T00:00:00"/>
    <n v="48"/>
  </r>
  <r>
    <x v="17"/>
    <x v="1"/>
    <d v="2021-04-03T00:00:00"/>
    <n v="28"/>
  </r>
  <r>
    <x v="0"/>
    <x v="0"/>
    <d v="2021-04-04T00:00:00"/>
    <n v="1608.4"/>
  </r>
  <r>
    <x v="9"/>
    <x v="0"/>
    <d v="2021-04-04T00:00:00"/>
    <n v="1046.4000000000001"/>
  </r>
  <r>
    <x v="10"/>
    <x v="0"/>
    <d v="2021-04-04T00:00:00"/>
    <n v="914.40000000000009"/>
  </r>
  <r>
    <x v="1"/>
    <x v="0"/>
    <d v="2021-04-04T00:00:00"/>
    <n v="831.6"/>
  </r>
  <r>
    <x v="3"/>
    <x v="1"/>
    <d v="2021-04-04T00:00:00"/>
    <n v="802"/>
  </r>
  <r>
    <x v="2"/>
    <x v="1"/>
    <d v="2021-04-04T00:00:00"/>
    <n v="628"/>
  </r>
  <r>
    <x v="17"/>
    <x v="1"/>
    <d v="2021-04-04T00:00:00"/>
    <n v="597.6"/>
  </r>
  <r>
    <x v="11"/>
    <x v="0"/>
    <d v="2021-04-04T00:00:00"/>
    <n v="552"/>
  </r>
  <r>
    <x v="15"/>
    <x v="0"/>
    <d v="2021-04-04T00:00:00"/>
    <n v="521.20000000000005"/>
  </r>
  <r>
    <x v="8"/>
    <x v="2"/>
    <d v="2021-04-04T00:00:00"/>
    <n v="469.6"/>
  </r>
  <r>
    <x v="12"/>
    <x v="3"/>
    <d v="2021-04-04T00:00:00"/>
    <n v="440"/>
  </r>
  <r>
    <x v="14"/>
    <x v="3"/>
    <d v="2021-04-04T00:00:00"/>
    <n v="429.20000000000005"/>
  </r>
  <r>
    <x v="21"/>
    <x v="1"/>
    <d v="2021-04-04T00:00:00"/>
    <n v="392.8"/>
  </r>
  <r>
    <x v="13"/>
    <x v="0"/>
    <d v="2021-04-04T00:00:00"/>
    <n v="337.20000000000005"/>
  </r>
  <r>
    <x v="20"/>
    <x v="3"/>
    <d v="2021-04-04T00:00:00"/>
    <n v="332.40000000000003"/>
  </r>
  <r>
    <x v="4"/>
    <x v="1"/>
    <d v="2021-04-04T00:00:00"/>
    <n v="330"/>
  </r>
  <r>
    <x v="6"/>
    <x v="2"/>
    <d v="2021-04-04T00:00:00"/>
    <n v="324.8"/>
  </r>
  <r>
    <x v="5"/>
    <x v="0"/>
    <d v="2021-04-04T00:00:00"/>
    <n v="279.2"/>
  </r>
  <r>
    <x v="16"/>
    <x v="1"/>
    <d v="2021-04-04T00:00:00"/>
    <n v="238.4"/>
  </r>
  <r>
    <x v="7"/>
    <x v="1"/>
    <d v="2021-04-04T00:00:00"/>
    <n v="209.60000000000002"/>
  </r>
  <r>
    <x v="19"/>
    <x v="2"/>
    <d v="2021-04-04T00:00:00"/>
    <n v="51.2"/>
  </r>
  <r>
    <x v="18"/>
    <x v="4"/>
    <d v="2021-04-04T00:00:00"/>
    <n v="35.200000000000003"/>
  </r>
  <r>
    <x v="22"/>
    <x v="4"/>
    <d v="2021-04-04T00:00:00"/>
    <n v="2380.8000000000002"/>
  </r>
  <r>
    <x v="0"/>
    <x v="0"/>
    <d v="2021-04-05T00:00:00"/>
    <n v="989.2"/>
  </r>
  <r>
    <x v="5"/>
    <x v="0"/>
    <d v="2021-04-05T00:00:00"/>
    <n v="976.80000000000007"/>
  </r>
  <r>
    <x v="8"/>
    <x v="2"/>
    <d v="2021-04-05T00:00:00"/>
    <n v="880"/>
  </r>
  <r>
    <x v="11"/>
    <x v="0"/>
    <d v="2021-04-05T00:00:00"/>
    <n v="830.80000000000007"/>
  </r>
  <r>
    <x v="3"/>
    <x v="1"/>
    <d v="2021-04-05T00:00:00"/>
    <n v="798.80000000000007"/>
  </r>
  <r>
    <x v="1"/>
    <x v="0"/>
    <d v="2021-04-05T00:00:00"/>
    <n v="766.40000000000009"/>
  </r>
  <r>
    <x v="2"/>
    <x v="1"/>
    <d v="2021-04-05T00:00:00"/>
    <n v="765.2"/>
  </r>
  <r>
    <x v="4"/>
    <x v="1"/>
    <d v="2021-04-05T00:00:00"/>
    <n v="655.20000000000005"/>
  </r>
  <r>
    <x v="13"/>
    <x v="0"/>
    <d v="2021-04-05T00:00:00"/>
    <n v="650"/>
  </r>
  <r>
    <x v="9"/>
    <x v="0"/>
    <d v="2021-04-05T00:00:00"/>
    <n v="563.20000000000005"/>
  </r>
  <r>
    <x v="12"/>
    <x v="3"/>
    <d v="2021-04-05T00:00:00"/>
    <n v="526"/>
  </r>
  <r>
    <x v="15"/>
    <x v="0"/>
    <d v="2021-04-05T00:00:00"/>
    <n v="524.4"/>
  </r>
  <r>
    <x v="6"/>
    <x v="2"/>
    <d v="2021-04-05T00:00:00"/>
    <n v="489.6"/>
  </r>
  <r>
    <x v="17"/>
    <x v="1"/>
    <d v="2021-04-05T00:00:00"/>
    <n v="467.20000000000005"/>
  </r>
  <r>
    <x v="16"/>
    <x v="1"/>
    <d v="2021-04-05T00:00:00"/>
    <n v="341.20000000000005"/>
  </r>
  <r>
    <x v="7"/>
    <x v="1"/>
    <d v="2021-04-05T00:00:00"/>
    <n v="322.40000000000003"/>
  </r>
  <r>
    <x v="10"/>
    <x v="0"/>
    <d v="2021-04-05T00:00:00"/>
    <n v="232.8"/>
  </r>
  <r>
    <x v="18"/>
    <x v="4"/>
    <d v="2021-04-05T00:00:00"/>
    <n v="188.8"/>
  </r>
  <r>
    <x v="14"/>
    <x v="3"/>
    <d v="2021-04-05T00:00:00"/>
    <n v="137.20000000000002"/>
  </r>
  <r>
    <x v="20"/>
    <x v="3"/>
    <d v="2021-04-05T00:00:00"/>
    <n v="130"/>
  </r>
  <r>
    <x v="19"/>
    <x v="2"/>
    <d v="2021-04-05T00:00:00"/>
    <n v="94.4"/>
  </r>
  <r>
    <x v="21"/>
    <x v="1"/>
    <d v="2021-04-05T00:00:00"/>
    <n v="55.2"/>
  </r>
  <r>
    <x v="22"/>
    <x v="4"/>
    <d v="2021-04-05T00:00:00"/>
    <n v="1808.8000000000002"/>
  </r>
  <r>
    <x v="9"/>
    <x v="0"/>
    <d v="2021-04-06T00:00:00"/>
    <n v="1046.4000000000001"/>
  </r>
  <r>
    <x v="5"/>
    <x v="0"/>
    <d v="2021-04-06T00:00:00"/>
    <n v="954"/>
  </r>
  <r>
    <x v="13"/>
    <x v="0"/>
    <d v="2021-04-06T00:00:00"/>
    <n v="852.80000000000007"/>
  </r>
  <r>
    <x v="4"/>
    <x v="1"/>
    <d v="2021-04-06T00:00:00"/>
    <n v="808.40000000000009"/>
  </r>
  <r>
    <x v="1"/>
    <x v="0"/>
    <d v="2021-04-06T00:00:00"/>
    <n v="797.2"/>
  </r>
  <r>
    <x v="3"/>
    <x v="1"/>
    <d v="2021-04-06T00:00:00"/>
    <n v="795.6"/>
  </r>
  <r>
    <x v="15"/>
    <x v="0"/>
    <d v="2021-04-06T00:00:00"/>
    <n v="774"/>
  </r>
  <r>
    <x v="11"/>
    <x v="0"/>
    <d v="2021-04-06T00:00:00"/>
    <n v="752.40000000000009"/>
  </r>
  <r>
    <x v="8"/>
    <x v="2"/>
    <d v="2021-04-06T00:00:00"/>
    <n v="626.80000000000007"/>
  </r>
  <r>
    <x v="20"/>
    <x v="3"/>
    <d v="2021-04-06T00:00:00"/>
    <n v="497.20000000000005"/>
  </r>
  <r>
    <x v="17"/>
    <x v="1"/>
    <d v="2021-04-06T00:00:00"/>
    <n v="329.6"/>
  </r>
  <r>
    <x v="6"/>
    <x v="2"/>
    <d v="2021-04-06T00:00:00"/>
    <n v="305.2"/>
  </r>
  <r>
    <x v="12"/>
    <x v="3"/>
    <d v="2021-04-06T00:00:00"/>
    <n v="296"/>
  </r>
  <r>
    <x v="10"/>
    <x v="0"/>
    <d v="2021-04-06T00:00:00"/>
    <n v="288.8"/>
  </r>
  <r>
    <x v="14"/>
    <x v="3"/>
    <d v="2021-04-06T00:00:00"/>
    <n v="272.40000000000003"/>
  </r>
  <r>
    <x v="18"/>
    <x v="4"/>
    <d v="2021-04-06T00:00:00"/>
    <n v="268.8"/>
  </r>
  <r>
    <x v="7"/>
    <x v="1"/>
    <d v="2021-04-06T00:00:00"/>
    <n v="252.4"/>
  </r>
  <r>
    <x v="16"/>
    <x v="1"/>
    <d v="2021-04-06T00:00:00"/>
    <n v="208.4"/>
  </r>
  <r>
    <x v="21"/>
    <x v="1"/>
    <d v="2021-04-06T00:00:00"/>
    <n v="45.2"/>
  </r>
  <r>
    <x v="22"/>
    <x v="4"/>
    <d v="2021-04-06T00:00:00"/>
    <n v="2302.4"/>
  </r>
  <r>
    <x v="2"/>
    <x v="1"/>
    <d v="2021-04-06T00:00:00"/>
    <n v="1336.8000000000002"/>
  </r>
  <r>
    <x v="0"/>
    <x v="0"/>
    <d v="2021-04-06T00:00:00"/>
    <n v="1299.2"/>
  </r>
  <r>
    <x v="22"/>
    <x v="4"/>
    <d v="2021-04-07T00:00:00"/>
    <n v="1402.4"/>
  </r>
  <r>
    <x v="0"/>
    <x v="0"/>
    <d v="2021-04-07T00:00:00"/>
    <n v="1148.8"/>
  </r>
  <r>
    <x v="1"/>
    <x v="0"/>
    <d v="2021-04-07T00:00:00"/>
    <n v="875.2"/>
  </r>
  <r>
    <x v="2"/>
    <x v="1"/>
    <d v="2021-04-07T00:00:00"/>
    <n v="786.40000000000009"/>
  </r>
  <r>
    <x v="11"/>
    <x v="0"/>
    <d v="2021-04-07T00:00:00"/>
    <n v="719.2"/>
  </r>
  <r>
    <x v="13"/>
    <x v="0"/>
    <d v="2021-04-07T00:00:00"/>
    <n v="670.80000000000007"/>
  </r>
  <r>
    <x v="15"/>
    <x v="0"/>
    <d v="2021-04-07T00:00:00"/>
    <n v="658.40000000000009"/>
  </r>
  <r>
    <x v="9"/>
    <x v="0"/>
    <d v="2021-04-07T00:00:00"/>
    <n v="640.80000000000007"/>
  </r>
  <r>
    <x v="8"/>
    <x v="2"/>
    <d v="2021-04-07T00:00:00"/>
    <n v="627.6"/>
  </r>
  <r>
    <x v="12"/>
    <x v="3"/>
    <d v="2021-04-07T00:00:00"/>
    <n v="589.20000000000005"/>
  </r>
  <r>
    <x v="3"/>
    <x v="1"/>
    <d v="2021-04-07T00:00:00"/>
    <n v="587.20000000000005"/>
  </r>
  <r>
    <x v="5"/>
    <x v="0"/>
    <d v="2021-04-07T00:00:00"/>
    <n v="568"/>
  </r>
  <r>
    <x v="14"/>
    <x v="3"/>
    <d v="2021-04-07T00:00:00"/>
    <n v="530.80000000000007"/>
  </r>
  <r>
    <x v="7"/>
    <x v="1"/>
    <d v="2021-04-07T00:00:00"/>
    <n v="462.8"/>
  </r>
  <r>
    <x v="4"/>
    <x v="1"/>
    <d v="2021-04-07T00:00:00"/>
    <n v="412.40000000000003"/>
  </r>
  <r>
    <x v="6"/>
    <x v="2"/>
    <d v="2021-04-07T00:00:00"/>
    <n v="400.40000000000003"/>
  </r>
  <r>
    <x v="10"/>
    <x v="0"/>
    <d v="2021-04-07T00:00:00"/>
    <n v="295.60000000000002"/>
  </r>
  <r>
    <x v="17"/>
    <x v="1"/>
    <d v="2021-04-07T00:00:00"/>
    <n v="270"/>
  </r>
  <r>
    <x v="18"/>
    <x v="4"/>
    <d v="2021-04-07T00:00:00"/>
    <n v="180.8"/>
  </r>
  <r>
    <x v="20"/>
    <x v="3"/>
    <d v="2021-04-07T00:00:00"/>
    <n v="149.6"/>
  </r>
  <r>
    <x v="19"/>
    <x v="2"/>
    <d v="2021-04-07T00:00:00"/>
    <n v="96.800000000000011"/>
  </r>
  <r>
    <x v="16"/>
    <x v="1"/>
    <d v="2021-04-07T00:00:00"/>
    <n v="59.6"/>
  </r>
  <r>
    <x v="21"/>
    <x v="1"/>
    <d v="2021-04-07T00:00:00"/>
    <n v="17.2"/>
  </r>
  <r>
    <x v="0"/>
    <x v="0"/>
    <d v="2021-04-08T00:00:00"/>
    <n v="1091.2"/>
  </r>
  <r>
    <x v="9"/>
    <x v="0"/>
    <d v="2021-04-08T00:00:00"/>
    <n v="973.6"/>
  </r>
  <r>
    <x v="5"/>
    <x v="0"/>
    <d v="2021-04-08T00:00:00"/>
    <n v="918.80000000000007"/>
  </r>
  <r>
    <x v="1"/>
    <x v="0"/>
    <d v="2021-04-08T00:00:00"/>
    <n v="862"/>
  </r>
  <r>
    <x v="11"/>
    <x v="0"/>
    <d v="2021-04-08T00:00:00"/>
    <n v="812"/>
  </r>
  <r>
    <x v="4"/>
    <x v="1"/>
    <d v="2021-04-08T00:00:00"/>
    <n v="763.2"/>
  </r>
  <r>
    <x v="2"/>
    <x v="1"/>
    <d v="2021-04-08T00:00:00"/>
    <n v="671.6"/>
  </r>
  <r>
    <x v="13"/>
    <x v="0"/>
    <d v="2021-04-08T00:00:00"/>
    <n v="612.4"/>
  </r>
  <r>
    <x v="3"/>
    <x v="1"/>
    <d v="2021-04-08T00:00:00"/>
    <n v="591.6"/>
  </r>
  <r>
    <x v="8"/>
    <x v="2"/>
    <d v="2021-04-08T00:00:00"/>
    <n v="543.6"/>
  </r>
  <r>
    <x v="15"/>
    <x v="0"/>
    <d v="2021-04-08T00:00:00"/>
    <n v="516"/>
  </r>
  <r>
    <x v="6"/>
    <x v="2"/>
    <d v="2021-04-08T00:00:00"/>
    <n v="444.8"/>
  </r>
  <r>
    <x v="14"/>
    <x v="3"/>
    <d v="2021-04-08T00:00:00"/>
    <n v="408.40000000000003"/>
  </r>
  <r>
    <x v="17"/>
    <x v="1"/>
    <d v="2021-04-08T00:00:00"/>
    <n v="400"/>
  </r>
  <r>
    <x v="10"/>
    <x v="0"/>
    <d v="2021-04-08T00:00:00"/>
    <n v="399.20000000000005"/>
  </r>
  <r>
    <x v="7"/>
    <x v="1"/>
    <d v="2021-04-08T00:00:00"/>
    <n v="308"/>
  </r>
  <r>
    <x v="16"/>
    <x v="1"/>
    <d v="2021-04-08T00:00:00"/>
    <n v="207.60000000000002"/>
  </r>
  <r>
    <x v="20"/>
    <x v="3"/>
    <d v="2021-04-08T00:00:00"/>
    <n v="206"/>
  </r>
  <r>
    <x v="12"/>
    <x v="3"/>
    <d v="2021-04-08T00:00:00"/>
    <n v="181.60000000000002"/>
  </r>
  <r>
    <x v="18"/>
    <x v="4"/>
    <d v="2021-04-08T00:00:00"/>
    <n v="144.4"/>
  </r>
  <r>
    <x v="19"/>
    <x v="2"/>
    <d v="2021-04-08T00:00:00"/>
    <n v="134.4"/>
  </r>
  <r>
    <x v="21"/>
    <x v="1"/>
    <d v="2021-04-08T00:00:00"/>
    <n v="70.400000000000006"/>
  </r>
  <r>
    <x v="22"/>
    <x v="4"/>
    <d v="2021-04-08T00:00:00"/>
    <n v="2321.6"/>
  </r>
  <r>
    <x v="8"/>
    <x v="2"/>
    <d v="2021-04-09T00:00:00"/>
    <n v="881.6"/>
  </r>
  <r>
    <x v="3"/>
    <x v="1"/>
    <d v="2021-04-09T00:00:00"/>
    <n v="802"/>
  </r>
  <r>
    <x v="22"/>
    <x v="4"/>
    <d v="2021-04-09T00:00:00"/>
    <n v="753.2"/>
  </r>
  <r>
    <x v="1"/>
    <x v="0"/>
    <d v="2021-04-09T00:00:00"/>
    <n v="702"/>
  </r>
  <r>
    <x v="5"/>
    <x v="0"/>
    <d v="2021-04-09T00:00:00"/>
    <n v="634.40000000000009"/>
  </r>
  <r>
    <x v="12"/>
    <x v="3"/>
    <d v="2021-04-09T00:00:00"/>
    <n v="566.80000000000007"/>
  </r>
  <r>
    <x v="0"/>
    <x v="0"/>
    <d v="2021-04-09T00:00:00"/>
    <n v="551.6"/>
  </r>
  <r>
    <x v="9"/>
    <x v="0"/>
    <d v="2021-04-09T00:00:00"/>
    <n v="520.80000000000007"/>
  </r>
  <r>
    <x v="4"/>
    <x v="1"/>
    <d v="2021-04-09T00:00:00"/>
    <n v="498.40000000000003"/>
  </r>
  <r>
    <x v="6"/>
    <x v="2"/>
    <d v="2021-04-09T00:00:00"/>
    <n v="441.6"/>
  </r>
  <r>
    <x v="11"/>
    <x v="0"/>
    <d v="2021-04-09T00:00:00"/>
    <n v="371.20000000000005"/>
  </r>
  <r>
    <x v="20"/>
    <x v="3"/>
    <d v="2021-04-09T00:00:00"/>
    <n v="320"/>
  </r>
  <r>
    <x v="16"/>
    <x v="1"/>
    <d v="2021-04-09T00:00:00"/>
    <n v="248.8"/>
  </r>
  <r>
    <x v="14"/>
    <x v="3"/>
    <d v="2021-04-09T00:00:00"/>
    <n v="248.4"/>
  </r>
  <r>
    <x v="15"/>
    <x v="0"/>
    <d v="2021-04-09T00:00:00"/>
    <n v="234.8"/>
  </r>
  <r>
    <x v="17"/>
    <x v="1"/>
    <d v="2021-04-09T00:00:00"/>
    <n v="202.8"/>
  </r>
  <r>
    <x v="2"/>
    <x v="1"/>
    <d v="2021-04-09T00:00:00"/>
    <n v="198.8"/>
  </r>
  <r>
    <x v="21"/>
    <x v="1"/>
    <d v="2021-04-09T00:00:00"/>
    <n v="137.20000000000002"/>
  </r>
  <r>
    <x v="10"/>
    <x v="0"/>
    <d v="2021-04-09T00:00:00"/>
    <n v="128.80000000000001"/>
  </r>
  <r>
    <x v="7"/>
    <x v="1"/>
    <d v="2021-04-09T00:00:00"/>
    <n v="106"/>
  </r>
  <r>
    <x v="19"/>
    <x v="2"/>
    <d v="2021-04-09T00:00:00"/>
    <n v="96.4"/>
  </r>
  <r>
    <x v="13"/>
    <x v="0"/>
    <d v="2021-04-09T00:00:00"/>
    <n v="29.200000000000003"/>
  </r>
  <r>
    <x v="18"/>
    <x v="4"/>
    <d v="2021-04-09T00:00:00"/>
    <n v="14.8"/>
  </r>
  <r>
    <x v="22"/>
    <x v="4"/>
    <d v="2021-04-10T00:00:00"/>
    <n v="802.80000000000007"/>
  </r>
  <r>
    <x v="8"/>
    <x v="2"/>
    <d v="2021-04-10T00:00:00"/>
    <n v="608.80000000000007"/>
  </r>
  <r>
    <x v="12"/>
    <x v="3"/>
    <d v="2021-04-10T00:00:00"/>
    <n v="590.4"/>
  </r>
  <r>
    <x v="9"/>
    <x v="0"/>
    <d v="2021-04-10T00:00:00"/>
    <n v="584.4"/>
  </r>
  <r>
    <x v="1"/>
    <x v="0"/>
    <d v="2021-04-10T00:00:00"/>
    <n v="581.6"/>
  </r>
  <r>
    <x v="11"/>
    <x v="0"/>
    <d v="2021-04-10T00:00:00"/>
    <n v="559.20000000000005"/>
  </r>
  <r>
    <x v="6"/>
    <x v="2"/>
    <d v="2021-04-10T00:00:00"/>
    <n v="534.80000000000007"/>
  </r>
  <r>
    <x v="4"/>
    <x v="1"/>
    <d v="2021-04-10T00:00:00"/>
    <n v="481.20000000000005"/>
  </r>
  <r>
    <x v="20"/>
    <x v="3"/>
    <d v="2021-04-10T00:00:00"/>
    <n v="407.6"/>
  </r>
  <r>
    <x v="0"/>
    <x v="0"/>
    <d v="2021-04-10T00:00:00"/>
    <n v="352"/>
  </r>
  <r>
    <x v="15"/>
    <x v="0"/>
    <d v="2021-04-10T00:00:00"/>
    <n v="330.8"/>
  </r>
  <r>
    <x v="5"/>
    <x v="0"/>
    <d v="2021-04-10T00:00:00"/>
    <n v="310.40000000000003"/>
  </r>
  <r>
    <x v="14"/>
    <x v="3"/>
    <d v="2021-04-10T00:00:00"/>
    <n v="304"/>
  </r>
  <r>
    <x v="7"/>
    <x v="1"/>
    <d v="2021-04-10T00:00:00"/>
    <n v="281.2"/>
  </r>
  <r>
    <x v="10"/>
    <x v="0"/>
    <d v="2021-04-10T00:00:00"/>
    <n v="278"/>
  </r>
  <r>
    <x v="3"/>
    <x v="1"/>
    <d v="2021-04-10T00:00:00"/>
    <n v="265.60000000000002"/>
  </r>
  <r>
    <x v="16"/>
    <x v="1"/>
    <d v="2021-04-10T00:00:00"/>
    <n v="226"/>
  </r>
  <r>
    <x v="13"/>
    <x v="0"/>
    <d v="2021-04-10T00:00:00"/>
    <n v="206.8"/>
  </r>
  <r>
    <x v="17"/>
    <x v="1"/>
    <d v="2021-04-10T00:00:00"/>
    <n v="178.8"/>
  </r>
  <r>
    <x v="19"/>
    <x v="2"/>
    <d v="2021-04-10T00:00:00"/>
    <n v="168.8"/>
  </r>
  <r>
    <x v="2"/>
    <x v="1"/>
    <d v="2021-04-10T00:00:00"/>
    <n v="59.6"/>
  </r>
  <r>
    <x v="18"/>
    <x v="4"/>
    <d v="2021-04-10T00:00:00"/>
    <n v="47.2"/>
  </r>
  <r>
    <x v="0"/>
    <x v="0"/>
    <d v="2021-04-11T00:00:00"/>
    <n v="1445.2"/>
  </r>
  <r>
    <x v="1"/>
    <x v="0"/>
    <d v="2021-04-11T00:00:00"/>
    <n v="869.6"/>
  </r>
  <r>
    <x v="11"/>
    <x v="0"/>
    <d v="2021-04-11T00:00:00"/>
    <n v="783.6"/>
  </r>
  <r>
    <x v="3"/>
    <x v="1"/>
    <d v="2021-04-11T00:00:00"/>
    <n v="717.2"/>
  </r>
  <r>
    <x v="2"/>
    <x v="1"/>
    <d v="2021-04-11T00:00:00"/>
    <n v="708"/>
  </r>
  <r>
    <x v="8"/>
    <x v="2"/>
    <d v="2021-04-11T00:00:00"/>
    <n v="699.6"/>
  </r>
  <r>
    <x v="5"/>
    <x v="0"/>
    <d v="2021-04-11T00:00:00"/>
    <n v="594.4"/>
  </r>
  <r>
    <x v="4"/>
    <x v="1"/>
    <d v="2021-04-11T00:00:00"/>
    <n v="564.4"/>
  </r>
  <r>
    <x v="9"/>
    <x v="0"/>
    <d v="2021-04-11T00:00:00"/>
    <n v="546.80000000000007"/>
  </r>
  <r>
    <x v="10"/>
    <x v="0"/>
    <d v="2021-04-11T00:00:00"/>
    <n v="538.4"/>
  </r>
  <r>
    <x v="15"/>
    <x v="0"/>
    <d v="2021-04-11T00:00:00"/>
    <n v="503.20000000000005"/>
  </r>
  <r>
    <x v="17"/>
    <x v="1"/>
    <d v="2021-04-11T00:00:00"/>
    <n v="502.8"/>
  </r>
  <r>
    <x v="13"/>
    <x v="0"/>
    <d v="2021-04-11T00:00:00"/>
    <n v="476"/>
  </r>
  <r>
    <x v="12"/>
    <x v="3"/>
    <d v="2021-04-11T00:00:00"/>
    <n v="470.40000000000003"/>
  </r>
  <r>
    <x v="14"/>
    <x v="3"/>
    <d v="2021-04-11T00:00:00"/>
    <n v="466"/>
  </r>
  <r>
    <x v="16"/>
    <x v="1"/>
    <d v="2021-04-11T00:00:00"/>
    <n v="413.6"/>
  </r>
  <r>
    <x v="6"/>
    <x v="2"/>
    <d v="2021-04-11T00:00:00"/>
    <n v="405.6"/>
  </r>
  <r>
    <x v="7"/>
    <x v="1"/>
    <d v="2021-04-11T00:00:00"/>
    <n v="320.8"/>
  </r>
  <r>
    <x v="18"/>
    <x v="4"/>
    <d v="2021-04-11T00:00:00"/>
    <n v="248"/>
  </r>
  <r>
    <x v="20"/>
    <x v="3"/>
    <d v="2021-04-11T00:00:00"/>
    <n v="135.6"/>
  </r>
  <r>
    <x v="19"/>
    <x v="2"/>
    <d v="2021-04-11T00:00:00"/>
    <n v="74"/>
  </r>
  <r>
    <x v="21"/>
    <x v="1"/>
    <d v="2021-04-11T00:00:00"/>
    <n v="32.800000000000004"/>
  </r>
  <r>
    <x v="22"/>
    <x v="4"/>
    <d v="2021-04-11T00:00:00"/>
    <n v="1791.6000000000001"/>
  </r>
  <r>
    <x v="22"/>
    <x v="4"/>
    <d v="2021-04-12T00:00:00"/>
    <n v="1535.6000000000001"/>
  </r>
  <r>
    <x v="0"/>
    <x v="0"/>
    <d v="2021-04-12T00:00:00"/>
    <n v="1186.8"/>
  </r>
  <r>
    <x v="2"/>
    <x v="1"/>
    <d v="2021-04-12T00:00:00"/>
    <n v="1003.6"/>
  </r>
  <r>
    <x v="3"/>
    <x v="1"/>
    <d v="2021-04-12T00:00:00"/>
    <n v="819.6"/>
  </r>
  <r>
    <x v="9"/>
    <x v="0"/>
    <d v="2021-04-12T00:00:00"/>
    <n v="797.6"/>
  </r>
  <r>
    <x v="13"/>
    <x v="0"/>
    <d v="2021-04-12T00:00:00"/>
    <n v="755.6"/>
  </r>
  <r>
    <x v="5"/>
    <x v="0"/>
    <d v="2021-04-12T00:00:00"/>
    <n v="747.6"/>
  </r>
  <r>
    <x v="1"/>
    <x v="0"/>
    <d v="2021-04-12T00:00:00"/>
    <n v="721.6"/>
  </r>
  <r>
    <x v="8"/>
    <x v="2"/>
    <d v="2021-04-12T00:00:00"/>
    <n v="626"/>
  </r>
  <r>
    <x v="12"/>
    <x v="3"/>
    <d v="2021-04-12T00:00:00"/>
    <n v="622"/>
  </r>
  <r>
    <x v="11"/>
    <x v="0"/>
    <d v="2021-04-12T00:00:00"/>
    <n v="618"/>
  </r>
  <r>
    <x v="4"/>
    <x v="1"/>
    <d v="2021-04-12T00:00:00"/>
    <n v="513.20000000000005"/>
  </r>
  <r>
    <x v="10"/>
    <x v="0"/>
    <d v="2021-04-12T00:00:00"/>
    <n v="432"/>
  </r>
  <r>
    <x v="7"/>
    <x v="1"/>
    <d v="2021-04-12T00:00:00"/>
    <n v="430"/>
  </r>
  <r>
    <x v="15"/>
    <x v="0"/>
    <d v="2021-04-12T00:00:00"/>
    <n v="334.8"/>
  </r>
  <r>
    <x v="20"/>
    <x v="3"/>
    <d v="2021-04-12T00:00:00"/>
    <n v="334"/>
  </r>
  <r>
    <x v="17"/>
    <x v="1"/>
    <d v="2021-04-12T00:00:00"/>
    <n v="331.20000000000005"/>
  </r>
  <r>
    <x v="16"/>
    <x v="1"/>
    <d v="2021-04-12T00:00:00"/>
    <n v="264.40000000000003"/>
  </r>
  <r>
    <x v="14"/>
    <x v="3"/>
    <d v="2021-04-12T00:00:00"/>
    <n v="239.20000000000002"/>
  </r>
  <r>
    <x v="6"/>
    <x v="2"/>
    <d v="2021-04-12T00:00:00"/>
    <n v="234.8"/>
  </r>
  <r>
    <x v="18"/>
    <x v="4"/>
    <d v="2021-04-12T00:00:00"/>
    <n v="176"/>
  </r>
  <r>
    <x v="19"/>
    <x v="2"/>
    <d v="2021-04-12T00:00:00"/>
    <n v="52.800000000000004"/>
  </r>
  <r>
    <x v="21"/>
    <x v="1"/>
    <d v="2021-04-12T00:00:00"/>
    <n v="8.8000000000000007"/>
  </r>
  <r>
    <x v="5"/>
    <x v="0"/>
    <d v="2021-04-13T00:00:00"/>
    <n v="494.8"/>
  </r>
  <r>
    <x v="3"/>
    <x v="1"/>
    <d v="2021-04-13T00:00:00"/>
    <n v="420"/>
  </r>
  <r>
    <x v="22"/>
    <x v="4"/>
    <d v="2021-04-13T00:00:00"/>
    <n v="419.6"/>
  </r>
  <r>
    <x v="8"/>
    <x v="2"/>
    <d v="2021-04-13T00:00:00"/>
    <n v="301.2"/>
  </r>
  <r>
    <x v="0"/>
    <x v="0"/>
    <d v="2021-04-13T00:00:00"/>
    <n v="292.40000000000003"/>
  </r>
  <r>
    <x v="4"/>
    <x v="1"/>
    <d v="2021-04-13T00:00:00"/>
    <n v="279.2"/>
  </r>
  <r>
    <x v="1"/>
    <x v="0"/>
    <d v="2021-04-13T00:00:00"/>
    <n v="278.40000000000003"/>
  </r>
  <r>
    <x v="11"/>
    <x v="0"/>
    <d v="2021-04-13T00:00:00"/>
    <n v="220"/>
  </r>
  <r>
    <x v="12"/>
    <x v="3"/>
    <d v="2021-04-13T00:00:00"/>
    <n v="210"/>
  </r>
  <r>
    <x v="14"/>
    <x v="3"/>
    <d v="2021-04-13T00:00:00"/>
    <n v="179.20000000000002"/>
  </r>
  <r>
    <x v="15"/>
    <x v="0"/>
    <d v="2021-04-13T00:00:00"/>
    <n v="138.80000000000001"/>
  </r>
  <r>
    <x v="16"/>
    <x v="1"/>
    <d v="2021-04-13T00:00:00"/>
    <n v="130.4"/>
  </r>
  <r>
    <x v="17"/>
    <x v="1"/>
    <d v="2021-04-13T00:00:00"/>
    <n v="122.4"/>
  </r>
  <r>
    <x v="13"/>
    <x v="0"/>
    <d v="2021-04-13T00:00:00"/>
    <n v="108.4"/>
  </r>
  <r>
    <x v="20"/>
    <x v="3"/>
    <d v="2021-04-13T00:00:00"/>
    <n v="107.60000000000001"/>
  </r>
  <r>
    <x v="9"/>
    <x v="0"/>
    <d v="2021-04-13T00:00:00"/>
    <n v="103.2"/>
  </r>
  <r>
    <x v="7"/>
    <x v="1"/>
    <d v="2021-04-13T00:00:00"/>
    <n v="44.400000000000006"/>
  </r>
  <r>
    <x v="6"/>
    <x v="2"/>
    <d v="2021-04-13T00:00:00"/>
    <n v="28.8"/>
  </r>
  <r>
    <x v="10"/>
    <x v="0"/>
    <d v="2021-04-13T00:00:00"/>
    <n v="26.8"/>
  </r>
  <r>
    <x v="19"/>
    <x v="2"/>
    <d v="2021-04-13T00:00:00"/>
    <n v="20"/>
  </r>
  <r>
    <x v="11"/>
    <x v="0"/>
    <d v="2021-04-14T00:00:00"/>
    <n v="536.80000000000007"/>
  </r>
  <r>
    <x v="22"/>
    <x v="4"/>
    <d v="2021-04-14T00:00:00"/>
    <n v="403.20000000000005"/>
  </r>
  <r>
    <x v="14"/>
    <x v="3"/>
    <d v="2021-04-14T00:00:00"/>
    <n v="374.8"/>
  </r>
  <r>
    <x v="0"/>
    <x v="0"/>
    <d v="2021-04-14T00:00:00"/>
    <n v="331.20000000000005"/>
  </r>
  <r>
    <x v="3"/>
    <x v="1"/>
    <d v="2021-04-14T00:00:00"/>
    <n v="314"/>
  </r>
  <r>
    <x v="1"/>
    <x v="0"/>
    <d v="2021-04-14T00:00:00"/>
    <n v="301.2"/>
  </r>
  <r>
    <x v="5"/>
    <x v="0"/>
    <d v="2021-04-14T00:00:00"/>
    <n v="292.40000000000003"/>
  </r>
  <r>
    <x v="4"/>
    <x v="1"/>
    <d v="2021-04-14T00:00:00"/>
    <n v="264"/>
  </r>
  <r>
    <x v="10"/>
    <x v="0"/>
    <d v="2021-04-14T00:00:00"/>
    <n v="251.20000000000002"/>
  </r>
  <r>
    <x v="8"/>
    <x v="2"/>
    <d v="2021-04-14T00:00:00"/>
    <n v="232.4"/>
  </r>
  <r>
    <x v="12"/>
    <x v="3"/>
    <d v="2021-04-14T00:00:00"/>
    <n v="203.20000000000002"/>
  </r>
  <r>
    <x v="15"/>
    <x v="0"/>
    <d v="2021-04-14T00:00:00"/>
    <n v="194"/>
  </r>
  <r>
    <x v="7"/>
    <x v="1"/>
    <d v="2021-04-14T00:00:00"/>
    <n v="84.800000000000011"/>
  </r>
  <r>
    <x v="16"/>
    <x v="1"/>
    <d v="2021-04-14T00:00:00"/>
    <n v="73.2"/>
  </r>
  <r>
    <x v="6"/>
    <x v="2"/>
    <d v="2021-04-14T00:00:00"/>
    <n v="56"/>
  </r>
  <r>
    <x v="2"/>
    <x v="1"/>
    <d v="2021-04-14T00:00:00"/>
    <n v="54"/>
  </r>
  <r>
    <x v="13"/>
    <x v="0"/>
    <d v="2021-04-14T00:00:00"/>
    <n v="53.6"/>
  </r>
  <r>
    <x v="20"/>
    <x v="3"/>
    <d v="2021-04-14T00:00:00"/>
    <n v="40.800000000000004"/>
  </r>
  <r>
    <x v="21"/>
    <x v="1"/>
    <d v="2021-04-14T00:00:00"/>
    <n v="36.800000000000004"/>
  </r>
  <r>
    <x v="17"/>
    <x v="1"/>
    <d v="2021-04-14T00:00:00"/>
    <n v="22.400000000000002"/>
  </r>
  <r>
    <x v="19"/>
    <x v="2"/>
    <d v="2021-04-14T00:00:00"/>
    <n v="19.200000000000003"/>
  </r>
  <r>
    <x v="3"/>
    <x v="1"/>
    <d v="2021-04-15T00:00:00"/>
    <n v="442"/>
  </r>
  <r>
    <x v="22"/>
    <x v="4"/>
    <d v="2021-04-15T00:00:00"/>
    <n v="414.8"/>
  </r>
  <r>
    <x v="11"/>
    <x v="0"/>
    <d v="2021-04-15T00:00:00"/>
    <n v="387.6"/>
  </r>
  <r>
    <x v="4"/>
    <x v="1"/>
    <d v="2021-04-15T00:00:00"/>
    <n v="360.8"/>
  </r>
  <r>
    <x v="9"/>
    <x v="0"/>
    <d v="2021-04-15T00:00:00"/>
    <n v="236.8"/>
  </r>
  <r>
    <x v="8"/>
    <x v="2"/>
    <d v="2021-04-15T00:00:00"/>
    <n v="230"/>
  </r>
  <r>
    <x v="6"/>
    <x v="2"/>
    <d v="2021-04-15T00:00:00"/>
    <n v="215.60000000000002"/>
  </r>
  <r>
    <x v="5"/>
    <x v="0"/>
    <d v="2021-04-15T00:00:00"/>
    <n v="210.8"/>
  </r>
  <r>
    <x v="15"/>
    <x v="0"/>
    <d v="2021-04-15T00:00:00"/>
    <n v="191.60000000000002"/>
  </r>
  <r>
    <x v="0"/>
    <x v="0"/>
    <d v="2021-04-15T00:00:00"/>
    <n v="190"/>
  </r>
  <r>
    <x v="1"/>
    <x v="0"/>
    <d v="2021-04-15T00:00:00"/>
    <n v="171.60000000000002"/>
  </r>
  <r>
    <x v="2"/>
    <x v="1"/>
    <d v="2021-04-15T00:00:00"/>
    <n v="141.20000000000002"/>
  </r>
  <r>
    <x v="20"/>
    <x v="3"/>
    <d v="2021-04-15T00:00:00"/>
    <n v="141.20000000000002"/>
  </r>
  <r>
    <x v="13"/>
    <x v="0"/>
    <d v="2021-04-15T00:00:00"/>
    <n v="122"/>
  </r>
  <r>
    <x v="14"/>
    <x v="3"/>
    <d v="2021-04-15T00:00:00"/>
    <n v="119.2"/>
  </r>
  <r>
    <x v="17"/>
    <x v="1"/>
    <d v="2021-04-15T00:00:00"/>
    <n v="118"/>
  </r>
  <r>
    <x v="7"/>
    <x v="1"/>
    <d v="2021-04-15T00:00:00"/>
    <n v="100"/>
  </r>
  <r>
    <x v="10"/>
    <x v="0"/>
    <d v="2021-04-15T00:00:00"/>
    <n v="96"/>
  </r>
  <r>
    <x v="12"/>
    <x v="3"/>
    <d v="2021-04-15T00:00:00"/>
    <n v="93.2"/>
  </r>
  <r>
    <x v="18"/>
    <x v="4"/>
    <d v="2021-04-15T00:00:00"/>
    <n v="92.800000000000011"/>
  </r>
  <r>
    <x v="16"/>
    <x v="1"/>
    <d v="2021-04-15T00:00:00"/>
    <n v="40"/>
  </r>
  <r>
    <x v="21"/>
    <x v="1"/>
    <d v="2021-04-15T00:00:00"/>
    <n v="18.8"/>
  </r>
  <r>
    <x v="3"/>
    <x v="1"/>
    <d v="2021-04-16T00:00:00"/>
    <n v="483.6"/>
  </r>
  <r>
    <x v="2"/>
    <x v="1"/>
    <d v="2021-04-16T00:00:00"/>
    <n v="452.8"/>
  </r>
  <r>
    <x v="9"/>
    <x v="0"/>
    <d v="2021-04-16T00:00:00"/>
    <n v="386.40000000000003"/>
  </r>
  <r>
    <x v="22"/>
    <x v="4"/>
    <d v="2021-04-16T00:00:00"/>
    <n v="341.6"/>
  </r>
  <r>
    <x v="11"/>
    <x v="0"/>
    <d v="2021-04-16T00:00:00"/>
    <n v="321.60000000000002"/>
  </r>
  <r>
    <x v="5"/>
    <x v="0"/>
    <d v="2021-04-16T00:00:00"/>
    <n v="288.40000000000003"/>
  </r>
  <r>
    <x v="8"/>
    <x v="2"/>
    <d v="2021-04-16T00:00:00"/>
    <n v="255.60000000000002"/>
  </r>
  <r>
    <x v="18"/>
    <x v="4"/>
    <d v="2021-04-16T00:00:00"/>
    <n v="242"/>
  </r>
  <r>
    <x v="4"/>
    <x v="1"/>
    <d v="2021-04-16T00:00:00"/>
    <n v="233.20000000000002"/>
  </r>
  <r>
    <x v="12"/>
    <x v="3"/>
    <d v="2021-04-16T00:00:00"/>
    <n v="221.60000000000002"/>
  </r>
  <r>
    <x v="20"/>
    <x v="3"/>
    <d v="2021-04-16T00:00:00"/>
    <n v="220"/>
  </r>
  <r>
    <x v="0"/>
    <x v="0"/>
    <d v="2021-04-16T00:00:00"/>
    <n v="203.60000000000002"/>
  </r>
  <r>
    <x v="15"/>
    <x v="0"/>
    <d v="2021-04-16T00:00:00"/>
    <n v="186"/>
  </r>
  <r>
    <x v="1"/>
    <x v="0"/>
    <d v="2021-04-16T00:00:00"/>
    <n v="177.60000000000002"/>
  </r>
  <r>
    <x v="10"/>
    <x v="0"/>
    <d v="2021-04-16T00:00:00"/>
    <n v="128.4"/>
  </r>
  <r>
    <x v="14"/>
    <x v="3"/>
    <d v="2021-04-16T00:00:00"/>
    <n v="104.80000000000001"/>
  </r>
  <r>
    <x v="16"/>
    <x v="1"/>
    <d v="2021-04-16T00:00:00"/>
    <n v="97.2"/>
  </r>
  <r>
    <x v="19"/>
    <x v="2"/>
    <d v="2021-04-16T00:00:00"/>
    <n v="90.800000000000011"/>
  </r>
  <r>
    <x v="6"/>
    <x v="2"/>
    <d v="2021-04-16T00:00:00"/>
    <n v="72.8"/>
  </r>
  <r>
    <x v="13"/>
    <x v="0"/>
    <d v="2021-04-16T00:00:00"/>
    <n v="52.400000000000006"/>
  </r>
  <r>
    <x v="17"/>
    <x v="1"/>
    <d v="2021-04-16T00:00:00"/>
    <n v="22.8"/>
  </r>
  <r>
    <x v="7"/>
    <x v="1"/>
    <d v="2021-04-16T00:00:00"/>
    <n v="12.4"/>
  </r>
  <r>
    <x v="22"/>
    <x v="4"/>
    <d v="2021-04-17T00:00:00"/>
    <n v="597.20000000000005"/>
  </r>
  <r>
    <x v="2"/>
    <x v="1"/>
    <d v="2021-04-17T00:00:00"/>
    <n v="542.4"/>
  </r>
  <r>
    <x v="3"/>
    <x v="1"/>
    <d v="2021-04-17T00:00:00"/>
    <n v="536.4"/>
  </r>
  <r>
    <x v="1"/>
    <x v="0"/>
    <d v="2021-04-17T00:00:00"/>
    <n v="464"/>
  </r>
  <r>
    <x v="6"/>
    <x v="2"/>
    <d v="2021-04-17T00:00:00"/>
    <n v="372.40000000000003"/>
  </r>
  <r>
    <x v="11"/>
    <x v="0"/>
    <d v="2021-04-17T00:00:00"/>
    <n v="371.6"/>
  </r>
  <r>
    <x v="4"/>
    <x v="1"/>
    <d v="2021-04-17T00:00:00"/>
    <n v="349.6"/>
  </r>
  <r>
    <x v="17"/>
    <x v="1"/>
    <d v="2021-04-17T00:00:00"/>
    <n v="336.8"/>
  </r>
  <r>
    <x v="5"/>
    <x v="0"/>
    <d v="2021-04-17T00:00:00"/>
    <n v="292.8"/>
  </r>
  <r>
    <x v="15"/>
    <x v="0"/>
    <d v="2021-04-17T00:00:00"/>
    <n v="218.4"/>
  </r>
  <r>
    <x v="20"/>
    <x v="3"/>
    <d v="2021-04-17T00:00:00"/>
    <n v="187.20000000000002"/>
  </r>
  <r>
    <x v="8"/>
    <x v="2"/>
    <d v="2021-04-17T00:00:00"/>
    <n v="183.60000000000002"/>
  </r>
  <r>
    <x v="14"/>
    <x v="3"/>
    <d v="2021-04-17T00:00:00"/>
    <n v="177.20000000000002"/>
  </r>
  <r>
    <x v="0"/>
    <x v="0"/>
    <d v="2021-04-17T00:00:00"/>
    <n v="163.60000000000002"/>
  </r>
  <r>
    <x v="9"/>
    <x v="0"/>
    <d v="2021-04-17T00:00:00"/>
    <n v="144.4"/>
  </r>
  <r>
    <x v="12"/>
    <x v="3"/>
    <d v="2021-04-17T00:00:00"/>
    <n v="136.80000000000001"/>
  </r>
  <r>
    <x v="10"/>
    <x v="0"/>
    <d v="2021-04-17T00:00:00"/>
    <n v="94.4"/>
  </r>
  <r>
    <x v="19"/>
    <x v="2"/>
    <d v="2021-04-17T00:00:00"/>
    <n v="71.600000000000009"/>
  </r>
  <r>
    <x v="16"/>
    <x v="1"/>
    <d v="2021-04-17T00:00:00"/>
    <n v="70"/>
  </r>
  <r>
    <x v="18"/>
    <x v="4"/>
    <d v="2021-04-17T00:00:00"/>
    <n v="59.6"/>
  </r>
  <r>
    <x v="13"/>
    <x v="0"/>
    <d v="2021-04-17T00:00:00"/>
    <n v="55.6"/>
  </r>
  <r>
    <x v="21"/>
    <x v="1"/>
    <d v="2021-04-17T00:00:00"/>
    <n v="44.400000000000006"/>
  </r>
  <r>
    <x v="7"/>
    <x v="1"/>
    <d v="2021-04-17T00:00:00"/>
    <n v="33.200000000000003"/>
  </r>
  <r>
    <x v="22"/>
    <x v="4"/>
    <d v="2021-04-18T00:00:00"/>
    <n v="776.40000000000009"/>
  </r>
  <r>
    <x v="3"/>
    <x v="1"/>
    <d v="2021-04-18T00:00:00"/>
    <n v="508"/>
  </r>
  <r>
    <x v="5"/>
    <x v="0"/>
    <d v="2021-04-18T00:00:00"/>
    <n v="385.6"/>
  </r>
  <r>
    <x v="1"/>
    <x v="0"/>
    <d v="2021-04-18T00:00:00"/>
    <n v="378.40000000000003"/>
  </r>
  <r>
    <x v="16"/>
    <x v="1"/>
    <d v="2021-04-18T00:00:00"/>
    <n v="324.40000000000003"/>
  </r>
  <r>
    <x v="2"/>
    <x v="1"/>
    <d v="2021-04-18T00:00:00"/>
    <n v="321.20000000000005"/>
  </r>
  <r>
    <x v="6"/>
    <x v="2"/>
    <d v="2021-04-18T00:00:00"/>
    <n v="294.40000000000003"/>
  </r>
  <r>
    <x v="15"/>
    <x v="0"/>
    <d v="2021-04-18T00:00:00"/>
    <n v="289.60000000000002"/>
  </r>
  <r>
    <x v="4"/>
    <x v="1"/>
    <d v="2021-04-18T00:00:00"/>
    <n v="271.2"/>
  </r>
  <r>
    <x v="8"/>
    <x v="2"/>
    <d v="2021-04-18T00:00:00"/>
    <n v="266"/>
  </r>
  <r>
    <x v="10"/>
    <x v="0"/>
    <d v="2021-04-18T00:00:00"/>
    <n v="260.40000000000003"/>
  </r>
  <r>
    <x v="11"/>
    <x v="0"/>
    <d v="2021-04-18T00:00:00"/>
    <n v="254.8"/>
  </r>
  <r>
    <x v="20"/>
    <x v="3"/>
    <d v="2021-04-18T00:00:00"/>
    <n v="254.8"/>
  </r>
  <r>
    <x v="0"/>
    <x v="0"/>
    <d v="2021-04-18T00:00:00"/>
    <n v="251.60000000000002"/>
  </r>
  <r>
    <x v="9"/>
    <x v="0"/>
    <d v="2021-04-18T00:00:00"/>
    <n v="222"/>
  </r>
  <r>
    <x v="14"/>
    <x v="3"/>
    <d v="2021-04-18T00:00:00"/>
    <n v="218.8"/>
  </r>
  <r>
    <x v="17"/>
    <x v="1"/>
    <d v="2021-04-18T00:00:00"/>
    <n v="216.4"/>
  </r>
  <r>
    <x v="12"/>
    <x v="3"/>
    <d v="2021-04-18T00:00:00"/>
    <n v="188.8"/>
  </r>
  <r>
    <x v="13"/>
    <x v="0"/>
    <d v="2021-04-18T00:00:00"/>
    <n v="180.8"/>
  </r>
  <r>
    <x v="7"/>
    <x v="1"/>
    <d v="2021-04-18T00:00:00"/>
    <n v="161.60000000000002"/>
  </r>
  <r>
    <x v="19"/>
    <x v="2"/>
    <d v="2021-04-18T00:00:00"/>
    <n v="90"/>
  </r>
  <r>
    <x v="18"/>
    <x v="4"/>
    <d v="2021-04-18T00:00:00"/>
    <n v="36.800000000000004"/>
  </r>
  <r>
    <x v="21"/>
    <x v="1"/>
    <d v="2021-04-18T00:00:00"/>
    <n v="10.4"/>
  </r>
  <r>
    <x v="2"/>
    <x v="1"/>
    <d v="2021-04-19T00:00:00"/>
    <n v="590"/>
  </r>
  <r>
    <x v="8"/>
    <x v="2"/>
    <d v="2021-04-19T00:00:00"/>
    <n v="395.6"/>
  </r>
  <r>
    <x v="9"/>
    <x v="0"/>
    <d v="2021-04-19T00:00:00"/>
    <n v="387.20000000000005"/>
  </r>
  <r>
    <x v="4"/>
    <x v="1"/>
    <d v="2021-04-19T00:00:00"/>
    <n v="381.6"/>
  </r>
  <r>
    <x v="22"/>
    <x v="4"/>
    <d v="2021-04-19T00:00:00"/>
    <n v="380.8"/>
  </r>
  <r>
    <x v="5"/>
    <x v="0"/>
    <d v="2021-04-19T00:00:00"/>
    <n v="363.6"/>
  </r>
  <r>
    <x v="0"/>
    <x v="0"/>
    <d v="2021-04-19T00:00:00"/>
    <n v="362.8"/>
  </r>
  <r>
    <x v="3"/>
    <x v="1"/>
    <d v="2021-04-19T00:00:00"/>
    <n v="354"/>
  </r>
  <r>
    <x v="10"/>
    <x v="0"/>
    <d v="2021-04-19T00:00:00"/>
    <n v="332.8"/>
  </r>
  <r>
    <x v="6"/>
    <x v="2"/>
    <d v="2021-04-19T00:00:00"/>
    <n v="313.60000000000002"/>
  </r>
  <r>
    <x v="11"/>
    <x v="0"/>
    <d v="2021-04-19T00:00:00"/>
    <n v="270"/>
  </r>
  <r>
    <x v="15"/>
    <x v="0"/>
    <d v="2021-04-19T00:00:00"/>
    <n v="242.4"/>
  </r>
  <r>
    <x v="1"/>
    <x v="0"/>
    <d v="2021-04-19T00:00:00"/>
    <n v="226.4"/>
  </r>
  <r>
    <x v="20"/>
    <x v="3"/>
    <d v="2021-04-19T00:00:00"/>
    <n v="225.20000000000002"/>
  </r>
  <r>
    <x v="12"/>
    <x v="3"/>
    <d v="2021-04-19T00:00:00"/>
    <n v="179.60000000000002"/>
  </r>
  <r>
    <x v="19"/>
    <x v="2"/>
    <d v="2021-04-19T00:00:00"/>
    <n v="177.60000000000002"/>
  </r>
  <r>
    <x v="14"/>
    <x v="3"/>
    <d v="2021-04-19T00:00:00"/>
    <n v="162"/>
  </r>
  <r>
    <x v="13"/>
    <x v="0"/>
    <d v="2021-04-19T00:00:00"/>
    <n v="110.80000000000001"/>
  </r>
  <r>
    <x v="17"/>
    <x v="1"/>
    <d v="2021-04-19T00:00:00"/>
    <n v="82"/>
  </r>
  <r>
    <x v="7"/>
    <x v="1"/>
    <d v="2021-04-19T00:00:00"/>
    <n v="55.6"/>
  </r>
  <r>
    <x v="18"/>
    <x v="4"/>
    <d v="2021-04-19T00:00:00"/>
    <n v="33.6"/>
  </r>
  <r>
    <x v="16"/>
    <x v="1"/>
    <d v="2021-04-19T00:00:00"/>
    <n v="27.200000000000003"/>
  </r>
  <r>
    <x v="21"/>
    <x v="1"/>
    <d v="2021-04-19T00:00:00"/>
    <n v="20.400000000000002"/>
  </r>
  <r>
    <x v="3"/>
    <x v="1"/>
    <d v="2021-04-20T00:00:00"/>
    <n v="468.40000000000003"/>
  </r>
  <r>
    <x v="22"/>
    <x v="4"/>
    <d v="2021-04-20T00:00:00"/>
    <n v="444.40000000000003"/>
  </r>
  <r>
    <x v="8"/>
    <x v="2"/>
    <d v="2021-04-20T00:00:00"/>
    <n v="378.8"/>
  </r>
  <r>
    <x v="14"/>
    <x v="3"/>
    <d v="2021-04-20T00:00:00"/>
    <n v="374.8"/>
  </r>
  <r>
    <x v="11"/>
    <x v="0"/>
    <d v="2021-04-20T00:00:00"/>
    <n v="354"/>
  </r>
  <r>
    <x v="0"/>
    <x v="0"/>
    <d v="2021-04-20T00:00:00"/>
    <n v="314.8"/>
  </r>
  <r>
    <x v="15"/>
    <x v="0"/>
    <d v="2021-04-20T00:00:00"/>
    <n v="286"/>
  </r>
  <r>
    <x v="4"/>
    <x v="1"/>
    <d v="2021-04-20T00:00:00"/>
    <n v="274.8"/>
  </r>
  <r>
    <x v="6"/>
    <x v="2"/>
    <d v="2021-04-20T00:00:00"/>
    <n v="258.40000000000003"/>
  </r>
  <r>
    <x v="12"/>
    <x v="3"/>
    <d v="2021-04-20T00:00:00"/>
    <n v="242.4"/>
  </r>
  <r>
    <x v="16"/>
    <x v="1"/>
    <d v="2021-04-20T00:00:00"/>
    <n v="238.4"/>
  </r>
  <r>
    <x v="9"/>
    <x v="0"/>
    <d v="2021-04-20T00:00:00"/>
    <n v="235.20000000000002"/>
  </r>
  <r>
    <x v="2"/>
    <x v="1"/>
    <d v="2021-04-20T00:00:00"/>
    <n v="194.8"/>
  </r>
  <r>
    <x v="13"/>
    <x v="0"/>
    <d v="2021-04-20T00:00:00"/>
    <n v="174.4"/>
  </r>
  <r>
    <x v="10"/>
    <x v="0"/>
    <d v="2021-04-20T00:00:00"/>
    <n v="172"/>
  </r>
  <r>
    <x v="1"/>
    <x v="0"/>
    <d v="2021-04-20T00:00:00"/>
    <n v="167.20000000000002"/>
  </r>
  <r>
    <x v="18"/>
    <x v="4"/>
    <d v="2021-04-20T00:00:00"/>
    <n v="134.80000000000001"/>
  </r>
  <r>
    <x v="17"/>
    <x v="1"/>
    <d v="2021-04-20T00:00:00"/>
    <n v="124.4"/>
  </r>
  <r>
    <x v="20"/>
    <x v="3"/>
    <d v="2021-04-20T00:00:00"/>
    <n v="110"/>
  </r>
  <r>
    <x v="7"/>
    <x v="1"/>
    <d v="2021-04-20T00:00:00"/>
    <n v="85.600000000000009"/>
  </r>
  <r>
    <x v="19"/>
    <x v="2"/>
    <d v="2021-04-20T00:00:00"/>
    <n v="31.6"/>
  </r>
  <r>
    <x v="8"/>
    <x v="2"/>
    <d v="2021-04-21T00:00:00"/>
    <n v="718.40000000000009"/>
  </r>
  <r>
    <x v="22"/>
    <x v="4"/>
    <d v="2021-04-21T00:00:00"/>
    <n v="620.80000000000007"/>
  </r>
  <r>
    <x v="0"/>
    <x v="0"/>
    <d v="2021-04-21T00:00:00"/>
    <n v="488.8"/>
  </r>
  <r>
    <x v="3"/>
    <x v="1"/>
    <d v="2021-04-21T00:00:00"/>
    <n v="465.20000000000005"/>
  </r>
  <r>
    <x v="6"/>
    <x v="2"/>
    <d v="2021-04-21T00:00:00"/>
    <n v="370.40000000000003"/>
  </r>
  <r>
    <x v="11"/>
    <x v="0"/>
    <d v="2021-04-21T00:00:00"/>
    <n v="277.2"/>
  </r>
  <r>
    <x v="4"/>
    <x v="1"/>
    <d v="2021-04-21T00:00:00"/>
    <n v="270"/>
  </r>
  <r>
    <x v="12"/>
    <x v="3"/>
    <d v="2021-04-21T00:00:00"/>
    <n v="270"/>
  </r>
  <r>
    <x v="20"/>
    <x v="3"/>
    <d v="2021-04-21T00:00:00"/>
    <n v="265.2"/>
  </r>
  <r>
    <x v="9"/>
    <x v="0"/>
    <d v="2021-04-21T00:00:00"/>
    <n v="262.8"/>
  </r>
  <r>
    <x v="2"/>
    <x v="1"/>
    <d v="2021-04-21T00:00:00"/>
    <n v="259.2"/>
  </r>
  <r>
    <x v="14"/>
    <x v="3"/>
    <d v="2021-04-21T00:00:00"/>
    <n v="233.60000000000002"/>
  </r>
  <r>
    <x v="17"/>
    <x v="1"/>
    <d v="2021-04-21T00:00:00"/>
    <n v="183.20000000000002"/>
  </r>
  <r>
    <x v="16"/>
    <x v="1"/>
    <d v="2021-04-21T00:00:00"/>
    <n v="151.20000000000002"/>
  </r>
  <r>
    <x v="15"/>
    <x v="0"/>
    <d v="2021-04-21T00:00:00"/>
    <n v="150"/>
  </r>
  <r>
    <x v="7"/>
    <x v="1"/>
    <d v="2021-04-21T00:00:00"/>
    <n v="144.4"/>
  </r>
  <r>
    <x v="1"/>
    <x v="0"/>
    <d v="2021-04-21T00:00:00"/>
    <n v="140"/>
  </r>
  <r>
    <x v="10"/>
    <x v="0"/>
    <d v="2021-04-21T00:00:00"/>
    <n v="104.4"/>
  </r>
  <r>
    <x v="18"/>
    <x v="4"/>
    <d v="2021-04-21T00:00:00"/>
    <n v="69.2"/>
  </r>
  <r>
    <x v="13"/>
    <x v="0"/>
    <d v="2021-04-21T00:00:00"/>
    <n v="52.800000000000004"/>
  </r>
  <r>
    <x v="19"/>
    <x v="2"/>
    <d v="2021-04-21T00:00:00"/>
    <n v="38.400000000000006"/>
  </r>
  <r>
    <x v="21"/>
    <x v="1"/>
    <d v="2021-04-21T00:00:00"/>
    <n v="30"/>
  </r>
  <r>
    <x v="22"/>
    <x v="4"/>
    <d v="2021-04-22T00:00:00"/>
    <n v="552.4"/>
  </r>
  <r>
    <x v="0"/>
    <x v="0"/>
    <d v="2021-04-22T00:00:00"/>
    <n v="442.40000000000003"/>
  </r>
  <r>
    <x v="3"/>
    <x v="1"/>
    <d v="2021-04-22T00:00:00"/>
    <n v="419.6"/>
  </r>
  <r>
    <x v="11"/>
    <x v="0"/>
    <d v="2021-04-22T00:00:00"/>
    <n v="415.6"/>
  </r>
  <r>
    <x v="8"/>
    <x v="2"/>
    <d v="2021-04-22T00:00:00"/>
    <n v="401.20000000000005"/>
  </r>
  <r>
    <x v="14"/>
    <x v="3"/>
    <d v="2021-04-22T00:00:00"/>
    <n v="369.20000000000005"/>
  </r>
  <r>
    <x v="9"/>
    <x v="0"/>
    <d v="2021-04-22T00:00:00"/>
    <n v="309.60000000000002"/>
  </r>
  <r>
    <x v="4"/>
    <x v="1"/>
    <d v="2021-04-22T00:00:00"/>
    <n v="275.60000000000002"/>
  </r>
  <r>
    <x v="5"/>
    <x v="0"/>
    <d v="2021-04-22T00:00:00"/>
    <n v="270"/>
  </r>
  <r>
    <x v="20"/>
    <x v="3"/>
    <d v="2021-04-22T00:00:00"/>
    <n v="250"/>
  </r>
  <r>
    <x v="12"/>
    <x v="3"/>
    <d v="2021-04-22T00:00:00"/>
    <n v="240"/>
  </r>
  <r>
    <x v="15"/>
    <x v="0"/>
    <d v="2021-04-22T00:00:00"/>
    <n v="238"/>
  </r>
  <r>
    <x v="2"/>
    <x v="1"/>
    <d v="2021-04-22T00:00:00"/>
    <n v="224.4"/>
  </r>
  <r>
    <x v="16"/>
    <x v="1"/>
    <d v="2021-04-22T00:00:00"/>
    <n v="223.60000000000002"/>
  </r>
  <r>
    <x v="6"/>
    <x v="2"/>
    <d v="2021-04-22T00:00:00"/>
    <n v="218"/>
  </r>
  <r>
    <x v="1"/>
    <x v="0"/>
    <d v="2021-04-22T00:00:00"/>
    <n v="212.8"/>
  </r>
  <r>
    <x v="10"/>
    <x v="0"/>
    <d v="2021-04-22T00:00:00"/>
    <n v="184"/>
  </r>
  <r>
    <x v="17"/>
    <x v="1"/>
    <d v="2021-04-22T00:00:00"/>
    <n v="141.6"/>
  </r>
  <r>
    <x v="18"/>
    <x v="4"/>
    <d v="2021-04-22T00:00:00"/>
    <n v="139.6"/>
  </r>
  <r>
    <x v="7"/>
    <x v="1"/>
    <d v="2021-04-22T00:00:00"/>
    <n v="108.4"/>
  </r>
  <r>
    <x v="13"/>
    <x v="0"/>
    <d v="2021-04-22T00:00:00"/>
    <n v="94"/>
  </r>
  <r>
    <x v="21"/>
    <x v="1"/>
    <d v="2021-04-22T00:00:00"/>
    <n v="65.600000000000009"/>
  </r>
  <r>
    <x v="23"/>
    <x v="3"/>
    <d v="2021-04-22T00:00:00"/>
    <n v="51.2"/>
  </r>
  <r>
    <x v="11"/>
    <x v="0"/>
    <d v="2021-04-23T00:00:00"/>
    <n v="460"/>
  </r>
  <r>
    <x v="22"/>
    <x v="4"/>
    <d v="2021-04-23T00:00:00"/>
    <n v="451.20000000000005"/>
  </r>
  <r>
    <x v="4"/>
    <x v="1"/>
    <d v="2021-04-23T00:00:00"/>
    <n v="449.6"/>
  </r>
  <r>
    <x v="8"/>
    <x v="2"/>
    <d v="2021-04-23T00:00:00"/>
    <n v="428.40000000000003"/>
  </r>
  <r>
    <x v="17"/>
    <x v="1"/>
    <d v="2021-04-23T00:00:00"/>
    <n v="350.40000000000003"/>
  </r>
  <r>
    <x v="3"/>
    <x v="1"/>
    <d v="2021-04-23T00:00:00"/>
    <n v="336.40000000000003"/>
  </r>
  <r>
    <x v="15"/>
    <x v="0"/>
    <d v="2021-04-23T00:00:00"/>
    <n v="334"/>
  </r>
  <r>
    <x v="9"/>
    <x v="0"/>
    <d v="2021-04-23T00:00:00"/>
    <n v="324"/>
  </r>
  <r>
    <x v="23"/>
    <x v="3"/>
    <d v="2021-04-23T00:00:00"/>
    <n v="321.20000000000005"/>
  </r>
  <r>
    <x v="14"/>
    <x v="3"/>
    <d v="2021-04-23T00:00:00"/>
    <n v="301.60000000000002"/>
  </r>
  <r>
    <x v="0"/>
    <x v="0"/>
    <d v="2021-04-23T00:00:00"/>
    <n v="272.8"/>
  </r>
  <r>
    <x v="20"/>
    <x v="3"/>
    <d v="2021-04-23T00:00:00"/>
    <n v="228.8"/>
  </r>
  <r>
    <x v="6"/>
    <x v="2"/>
    <d v="2021-04-23T00:00:00"/>
    <n v="222.8"/>
  </r>
  <r>
    <x v="2"/>
    <x v="1"/>
    <d v="2021-04-23T00:00:00"/>
    <n v="216.4"/>
  </r>
  <r>
    <x v="10"/>
    <x v="0"/>
    <d v="2021-04-23T00:00:00"/>
    <n v="152.80000000000001"/>
  </r>
  <r>
    <x v="12"/>
    <x v="3"/>
    <d v="2021-04-23T00:00:00"/>
    <n v="127.60000000000001"/>
  </r>
  <r>
    <x v="1"/>
    <x v="0"/>
    <d v="2021-04-23T00:00:00"/>
    <n v="124.80000000000001"/>
  </r>
  <r>
    <x v="16"/>
    <x v="1"/>
    <d v="2021-04-23T00:00:00"/>
    <n v="75.600000000000009"/>
  </r>
  <r>
    <x v="5"/>
    <x v="0"/>
    <d v="2021-04-23T00:00:00"/>
    <n v="75.600000000000009"/>
  </r>
  <r>
    <x v="13"/>
    <x v="0"/>
    <d v="2021-04-23T00:00:00"/>
    <n v="64.8"/>
  </r>
  <r>
    <x v="19"/>
    <x v="2"/>
    <d v="2021-04-23T00:00:00"/>
    <n v="55.6"/>
  </r>
  <r>
    <x v="7"/>
    <x v="1"/>
    <d v="2021-04-23T00:00:00"/>
    <n v="52"/>
  </r>
  <r>
    <x v="21"/>
    <x v="1"/>
    <d v="2021-04-23T00:00:00"/>
    <n v="41.6"/>
  </r>
  <r>
    <x v="18"/>
    <x v="4"/>
    <d v="2021-04-23T00:00:00"/>
    <n v="17.600000000000001"/>
  </r>
  <r>
    <x v="8"/>
    <x v="2"/>
    <d v="2021-04-24T00:00:00"/>
    <n v="643.20000000000005"/>
  </r>
  <r>
    <x v="4"/>
    <x v="1"/>
    <d v="2021-04-24T00:00:00"/>
    <n v="452.8"/>
  </r>
  <r>
    <x v="6"/>
    <x v="2"/>
    <d v="2021-04-24T00:00:00"/>
    <n v="435.6"/>
  </r>
  <r>
    <x v="9"/>
    <x v="0"/>
    <d v="2021-04-24T00:00:00"/>
    <n v="424.40000000000003"/>
  </r>
  <r>
    <x v="22"/>
    <x v="4"/>
    <d v="2021-04-24T00:00:00"/>
    <n v="418.8"/>
  </r>
  <r>
    <x v="0"/>
    <x v="0"/>
    <d v="2021-04-24T00:00:00"/>
    <n v="326.40000000000003"/>
  </r>
  <r>
    <x v="3"/>
    <x v="1"/>
    <d v="2021-04-24T00:00:00"/>
    <n v="309.60000000000002"/>
  </r>
  <r>
    <x v="20"/>
    <x v="3"/>
    <d v="2021-04-24T00:00:00"/>
    <n v="243.60000000000002"/>
  </r>
  <r>
    <x v="5"/>
    <x v="0"/>
    <d v="2021-04-24T00:00:00"/>
    <n v="243.60000000000002"/>
  </r>
  <r>
    <x v="12"/>
    <x v="3"/>
    <d v="2021-04-24T00:00:00"/>
    <n v="179.60000000000002"/>
  </r>
  <r>
    <x v="15"/>
    <x v="0"/>
    <d v="2021-04-24T00:00:00"/>
    <n v="167.60000000000002"/>
  </r>
  <r>
    <x v="14"/>
    <x v="3"/>
    <d v="2021-04-24T00:00:00"/>
    <n v="150"/>
  </r>
  <r>
    <x v="16"/>
    <x v="1"/>
    <d v="2021-04-24T00:00:00"/>
    <n v="136.80000000000001"/>
  </r>
  <r>
    <x v="23"/>
    <x v="3"/>
    <d v="2021-04-24T00:00:00"/>
    <n v="132.80000000000001"/>
  </r>
  <r>
    <x v="1"/>
    <x v="0"/>
    <d v="2021-04-24T00:00:00"/>
    <n v="112.80000000000001"/>
  </r>
  <r>
    <x v="7"/>
    <x v="1"/>
    <d v="2021-04-24T00:00:00"/>
    <n v="93.2"/>
  </r>
  <r>
    <x v="2"/>
    <x v="1"/>
    <d v="2021-04-24T00:00:00"/>
    <n v="92.4"/>
  </r>
  <r>
    <x v="11"/>
    <x v="0"/>
    <d v="2021-04-24T00:00:00"/>
    <n v="87.600000000000009"/>
  </r>
  <r>
    <x v="10"/>
    <x v="0"/>
    <d v="2021-04-24T00:00:00"/>
    <n v="87.600000000000009"/>
  </r>
  <r>
    <x v="13"/>
    <x v="0"/>
    <d v="2021-04-24T00:00:00"/>
    <n v="74.8"/>
  </r>
  <r>
    <x v="21"/>
    <x v="1"/>
    <d v="2021-04-24T00:00:00"/>
    <n v="58"/>
  </r>
  <r>
    <x v="17"/>
    <x v="1"/>
    <d v="2021-04-24T00:00:00"/>
    <n v="57.6"/>
  </r>
  <r>
    <x v="19"/>
    <x v="2"/>
    <d v="2021-04-24T00:00:00"/>
    <n v="33.6"/>
  </r>
  <r>
    <x v="0"/>
    <x v="0"/>
    <d v="2021-04-25T00:00:00"/>
    <n v="490.8"/>
  </r>
  <r>
    <x v="8"/>
    <x v="2"/>
    <d v="2021-04-25T00:00:00"/>
    <n v="412.40000000000003"/>
  </r>
  <r>
    <x v="1"/>
    <x v="0"/>
    <d v="2021-04-25T00:00:00"/>
    <n v="368.8"/>
  </r>
  <r>
    <x v="4"/>
    <x v="1"/>
    <d v="2021-04-25T00:00:00"/>
    <n v="340.40000000000003"/>
  </r>
  <r>
    <x v="3"/>
    <x v="1"/>
    <d v="2021-04-25T00:00:00"/>
    <n v="338.40000000000003"/>
  </r>
  <r>
    <x v="22"/>
    <x v="4"/>
    <d v="2021-04-25T00:00:00"/>
    <n v="297.2"/>
  </r>
  <r>
    <x v="5"/>
    <x v="0"/>
    <d v="2021-04-25T00:00:00"/>
    <n v="270"/>
  </r>
  <r>
    <x v="23"/>
    <x v="3"/>
    <d v="2021-04-25T00:00:00"/>
    <n v="224.8"/>
  </r>
  <r>
    <x v="6"/>
    <x v="2"/>
    <d v="2021-04-25T00:00:00"/>
    <n v="214.8"/>
  </r>
  <r>
    <x v="20"/>
    <x v="3"/>
    <d v="2021-04-25T00:00:00"/>
    <n v="202.4"/>
  </r>
  <r>
    <x v="10"/>
    <x v="0"/>
    <d v="2021-04-25T00:00:00"/>
    <n v="196.8"/>
  </r>
  <r>
    <x v="13"/>
    <x v="0"/>
    <d v="2021-04-25T00:00:00"/>
    <n v="192.8"/>
  </r>
  <r>
    <x v="16"/>
    <x v="1"/>
    <d v="2021-04-25T00:00:00"/>
    <n v="161.20000000000002"/>
  </r>
  <r>
    <x v="9"/>
    <x v="0"/>
    <d v="2021-04-25T00:00:00"/>
    <n v="155.60000000000002"/>
  </r>
  <r>
    <x v="11"/>
    <x v="0"/>
    <d v="2021-04-25T00:00:00"/>
    <n v="130"/>
  </r>
  <r>
    <x v="14"/>
    <x v="3"/>
    <d v="2021-04-25T00:00:00"/>
    <n v="92.4"/>
  </r>
  <r>
    <x v="7"/>
    <x v="1"/>
    <d v="2021-04-25T00:00:00"/>
    <n v="85.2"/>
  </r>
  <r>
    <x v="15"/>
    <x v="0"/>
    <d v="2021-04-25T00:00:00"/>
    <n v="80"/>
  </r>
  <r>
    <x v="17"/>
    <x v="1"/>
    <d v="2021-04-25T00:00:00"/>
    <n v="54"/>
  </r>
  <r>
    <x v="2"/>
    <x v="1"/>
    <d v="2021-04-25T00:00:00"/>
    <n v="28.8"/>
  </r>
  <r>
    <x v="18"/>
    <x v="4"/>
    <d v="2021-04-25T00:00:00"/>
    <n v="18"/>
  </r>
  <r>
    <x v="12"/>
    <x v="3"/>
    <d v="2021-04-25T00:00:00"/>
    <n v="12.4"/>
  </r>
  <r>
    <x v="22"/>
    <x v="4"/>
    <d v="2021-04-26T00:00:00"/>
    <n v="618"/>
  </r>
  <r>
    <x v="0"/>
    <x v="0"/>
    <d v="2021-04-26T00:00:00"/>
    <n v="537.6"/>
  </r>
  <r>
    <x v="11"/>
    <x v="0"/>
    <d v="2021-04-26T00:00:00"/>
    <n v="490.40000000000003"/>
  </r>
  <r>
    <x v="8"/>
    <x v="2"/>
    <d v="2021-04-26T00:00:00"/>
    <n v="446.8"/>
  </r>
  <r>
    <x v="9"/>
    <x v="0"/>
    <d v="2021-04-26T00:00:00"/>
    <n v="429.20000000000005"/>
  </r>
  <r>
    <x v="3"/>
    <x v="1"/>
    <d v="2021-04-26T00:00:00"/>
    <n v="397.20000000000005"/>
  </r>
  <r>
    <x v="4"/>
    <x v="1"/>
    <d v="2021-04-26T00:00:00"/>
    <n v="391.20000000000005"/>
  </r>
  <r>
    <x v="10"/>
    <x v="0"/>
    <d v="2021-04-26T00:00:00"/>
    <n v="334.8"/>
  </r>
  <r>
    <x v="20"/>
    <x v="3"/>
    <d v="2021-04-26T00:00:00"/>
    <n v="327.20000000000005"/>
  </r>
  <r>
    <x v="6"/>
    <x v="2"/>
    <d v="2021-04-26T00:00:00"/>
    <n v="285.60000000000002"/>
  </r>
  <r>
    <x v="2"/>
    <x v="1"/>
    <d v="2021-04-26T00:00:00"/>
    <n v="248.8"/>
  </r>
  <r>
    <x v="5"/>
    <x v="0"/>
    <d v="2021-04-26T00:00:00"/>
    <n v="206"/>
  </r>
  <r>
    <x v="23"/>
    <x v="3"/>
    <d v="2021-04-26T00:00:00"/>
    <n v="195.20000000000002"/>
  </r>
  <r>
    <x v="12"/>
    <x v="3"/>
    <d v="2021-04-26T00:00:00"/>
    <n v="190.8"/>
  </r>
  <r>
    <x v="16"/>
    <x v="1"/>
    <d v="2021-04-26T00:00:00"/>
    <n v="189.20000000000002"/>
  </r>
  <r>
    <x v="21"/>
    <x v="1"/>
    <d v="2021-04-26T00:00:00"/>
    <n v="164.8"/>
  </r>
  <r>
    <x v="14"/>
    <x v="3"/>
    <d v="2021-04-26T00:00:00"/>
    <n v="131.6"/>
  </r>
  <r>
    <x v="15"/>
    <x v="0"/>
    <d v="2021-04-26T00:00:00"/>
    <n v="130"/>
  </r>
  <r>
    <x v="1"/>
    <x v="0"/>
    <d v="2021-04-26T00:00:00"/>
    <n v="128.4"/>
  </r>
  <r>
    <x v="7"/>
    <x v="1"/>
    <d v="2021-04-26T00:00:00"/>
    <n v="123.2"/>
  </r>
  <r>
    <x v="17"/>
    <x v="1"/>
    <d v="2021-04-26T00:00:00"/>
    <n v="44.800000000000004"/>
  </r>
  <r>
    <x v="13"/>
    <x v="0"/>
    <d v="2021-04-26T00:00:00"/>
    <n v="31.6"/>
  </r>
  <r>
    <x v="18"/>
    <x v="4"/>
    <d v="2021-04-26T00:00:00"/>
    <n v="20.400000000000002"/>
  </r>
  <r>
    <x v="8"/>
    <x v="2"/>
    <d v="2021-04-27T00:00:00"/>
    <n v="598.80000000000007"/>
  </r>
  <r>
    <x v="20"/>
    <x v="3"/>
    <d v="2021-04-27T00:00:00"/>
    <n v="456.8"/>
  </r>
  <r>
    <x v="0"/>
    <x v="0"/>
    <d v="2021-04-27T00:00:00"/>
    <n v="366.8"/>
  </r>
  <r>
    <x v="22"/>
    <x v="4"/>
    <d v="2021-04-27T00:00:00"/>
    <n v="341.6"/>
  </r>
  <r>
    <x v="5"/>
    <x v="0"/>
    <d v="2021-04-27T00:00:00"/>
    <n v="271.60000000000002"/>
  </r>
  <r>
    <x v="6"/>
    <x v="2"/>
    <d v="2021-04-27T00:00:00"/>
    <n v="244.4"/>
  </r>
  <r>
    <x v="16"/>
    <x v="1"/>
    <d v="2021-04-27T00:00:00"/>
    <n v="242"/>
  </r>
  <r>
    <x v="3"/>
    <x v="1"/>
    <d v="2021-04-27T00:00:00"/>
    <n v="228.8"/>
  </r>
  <r>
    <x v="23"/>
    <x v="3"/>
    <d v="2021-04-27T00:00:00"/>
    <n v="222.8"/>
  </r>
  <r>
    <x v="2"/>
    <x v="1"/>
    <d v="2021-04-27T00:00:00"/>
    <n v="218.8"/>
  </r>
  <r>
    <x v="4"/>
    <x v="1"/>
    <d v="2021-04-27T00:00:00"/>
    <n v="203.60000000000002"/>
  </r>
  <r>
    <x v="17"/>
    <x v="1"/>
    <d v="2021-04-27T00:00:00"/>
    <n v="196.8"/>
  </r>
  <r>
    <x v="12"/>
    <x v="3"/>
    <d v="2021-04-27T00:00:00"/>
    <n v="186.8"/>
  </r>
  <r>
    <x v="9"/>
    <x v="0"/>
    <d v="2021-04-27T00:00:00"/>
    <n v="183.60000000000002"/>
  </r>
  <r>
    <x v="11"/>
    <x v="0"/>
    <d v="2021-04-27T00:00:00"/>
    <n v="166.8"/>
  </r>
  <r>
    <x v="14"/>
    <x v="3"/>
    <d v="2021-04-27T00:00:00"/>
    <n v="162.4"/>
  </r>
  <r>
    <x v="15"/>
    <x v="0"/>
    <d v="2021-04-27T00:00:00"/>
    <n v="136.80000000000001"/>
  </r>
  <r>
    <x v="13"/>
    <x v="0"/>
    <d v="2021-04-27T00:00:00"/>
    <n v="124.4"/>
  </r>
  <r>
    <x v="1"/>
    <x v="0"/>
    <d v="2021-04-27T00:00:00"/>
    <n v="105.60000000000001"/>
  </r>
  <r>
    <x v="10"/>
    <x v="0"/>
    <d v="2021-04-27T00:00:00"/>
    <n v="102.4"/>
  </r>
  <r>
    <x v="19"/>
    <x v="2"/>
    <d v="2021-04-27T00:00:00"/>
    <n v="66"/>
  </r>
  <r>
    <x v="7"/>
    <x v="1"/>
    <d v="2021-04-27T00:00:00"/>
    <n v="61.2"/>
  </r>
  <r>
    <x v="21"/>
    <x v="1"/>
    <d v="2021-04-27T00:00:00"/>
    <n v="26"/>
  </r>
  <r>
    <x v="18"/>
    <x v="4"/>
    <d v="2021-04-27T00:00:00"/>
    <n v="15.600000000000001"/>
  </r>
  <r>
    <x v="3"/>
    <x v="1"/>
    <d v="2021-04-28T00:00:00"/>
    <n v="530"/>
  </r>
  <r>
    <x v="22"/>
    <x v="4"/>
    <d v="2021-04-28T00:00:00"/>
    <n v="506.8"/>
  </r>
  <r>
    <x v="0"/>
    <x v="0"/>
    <d v="2021-04-28T00:00:00"/>
    <n v="444.8"/>
  </r>
  <r>
    <x v="12"/>
    <x v="3"/>
    <d v="2021-04-28T00:00:00"/>
    <n v="434.8"/>
  </r>
  <r>
    <x v="5"/>
    <x v="0"/>
    <d v="2021-04-28T00:00:00"/>
    <n v="392.40000000000003"/>
  </r>
  <r>
    <x v="4"/>
    <x v="1"/>
    <d v="2021-04-28T00:00:00"/>
    <n v="390.40000000000003"/>
  </r>
  <r>
    <x v="8"/>
    <x v="2"/>
    <d v="2021-04-28T00:00:00"/>
    <n v="366"/>
  </r>
  <r>
    <x v="1"/>
    <x v="0"/>
    <d v="2021-04-28T00:00:00"/>
    <n v="342"/>
  </r>
  <r>
    <x v="20"/>
    <x v="3"/>
    <d v="2021-04-28T00:00:00"/>
    <n v="306.8"/>
  </r>
  <r>
    <x v="9"/>
    <x v="0"/>
    <d v="2021-04-28T00:00:00"/>
    <n v="278.40000000000003"/>
  </r>
  <r>
    <x v="11"/>
    <x v="0"/>
    <d v="2021-04-28T00:00:00"/>
    <n v="274.40000000000003"/>
  </r>
  <r>
    <x v="23"/>
    <x v="3"/>
    <d v="2021-04-28T00:00:00"/>
    <n v="240"/>
  </r>
  <r>
    <x v="2"/>
    <x v="1"/>
    <d v="2021-04-28T00:00:00"/>
    <n v="215.60000000000002"/>
  </r>
  <r>
    <x v="6"/>
    <x v="2"/>
    <d v="2021-04-28T00:00:00"/>
    <n v="184"/>
  </r>
  <r>
    <x v="17"/>
    <x v="1"/>
    <d v="2021-04-28T00:00:00"/>
    <n v="160.80000000000001"/>
  </r>
  <r>
    <x v="15"/>
    <x v="0"/>
    <d v="2021-04-28T00:00:00"/>
    <n v="140.80000000000001"/>
  </r>
  <r>
    <x v="19"/>
    <x v="2"/>
    <d v="2021-04-28T00:00:00"/>
    <n v="132.4"/>
  </r>
  <r>
    <x v="10"/>
    <x v="0"/>
    <d v="2021-04-28T00:00:00"/>
    <n v="89.2"/>
  </r>
  <r>
    <x v="18"/>
    <x v="4"/>
    <d v="2021-04-28T00:00:00"/>
    <n v="72.8"/>
  </r>
  <r>
    <x v="14"/>
    <x v="3"/>
    <d v="2021-04-28T00:00:00"/>
    <n v="53.2"/>
  </r>
  <r>
    <x v="16"/>
    <x v="1"/>
    <d v="2021-04-28T00:00:00"/>
    <n v="38"/>
  </r>
  <r>
    <x v="13"/>
    <x v="0"/>
    <d v="2021-04-28T00:00:00"/>
    <n v="31.6"/>
  </r>
  <r>
    <x v="3"/>
    <x v="1"/>
    <d v="2021-04-29T00:00:00"/>
    <n v="824.40000000000009"/>
  </r>
  <r>
    <x v="8"/>
    <x v="2"/>
    <d v="2021-04-29T00:00:00"/>
    <n v="441.6"/>
  </r>
  <r>
    <x v="11"/>
    <x v="0"/>
    <d v="2021-04-29T00:00:00"/>
    <n v="440.40000000000003"/>
  </r>
  <r>
    <x v="22"/>
    <x v="4"/>
    <d v="2021-04-29T00:00:00"/>
    <n v="421.6"/>
  </r>
  <r>
    <x v="5"/>
    <x v="0"/>
    <d v="2021-04-29T00:00:00"/>
    <n v="420"/>
  </r>
  <r>
    <x v="6"/>
    <x v="2"/>
    <d v="2021-04-29T00:00:00"/>
    <n v="419.20000000000005"/>
  </r>
  <r>
    <x v="4"/>
    <x v="1"/>
    <d v="2021-04-29T00:00:00"/>
    <n v="346.40000000000003"/>
  </r>
  <r>
    <x v="9"/>
    <x v="0"/>
    <d v="2021-04-29T00:00:00"/>
    <n v="337.20000000000005"/>
  </r>
  <r>
    <x v="0"/>
    <x v="0"/>
    <d v="2021-04-29T00:00:00"/>
    <n v="318.8"/>
  </r>
  <r>
    <x v="12"/>
    <x v="3"/>
    <d v="2021-04-29T00:00:00"/>
    <n v="308.8"/>
  </r>
  <r>
    <x v="20"/>
    <x v="3"/>
    <d v="2021-04-29T00:00:00"/>
    <n v="201.20000000000002"/>
  </r>
  <r>
    <x v="10"/>
    <x v="0"/>
    <d v="2021-04-29T00:00:00"/>
    <n v="186"/>
  </r>
  <r>
    <x v="13"/>
    <x v="0"/>
    <d v="2021-04-29T00:00:00"/>
    <n v="174.8"/>
  </r>
  <r>
    <x v="1"/>
    <x v="0"/>
    <d v="2021-04-29T00:00:00"/>
    <n v="148"/>
  </r>
  <r>
    <x v="14"/>
    <x v="3"/>
    <d v="2021-04-29T00:00:00"/>
    <n v="146"/>
  </r>
  <r>
    <x v="2"/>
    <x v="1"/>
    <d v="2021-04-29T00:00:00"/>
    <n v="115.2"/>
  </r>
  <r>
    <x v="17"/>
    <x v="1"/>
    <d v="2021-04-29T00:00:00"/>
    <n v="115.2"/>
  </r>
  <r>
    <x v="15"/>
    <x v="0"/>
    <d v="2021-04-29T00:00:00"/>
    <n v="81.2"/>
  </r>
  <r>
    <x v="23"/>
    <x v="3"/>
    <d v="2021-04-29T00:00:00"/>
    <n v="79.2"/>
  </r>
  <r>
    <x v="16"/>
    <x v="1"/>
    <d v="2021-04-29T00:00:00"/>
    <n v="77.2"/>
  </r>
  <r>
    <x v="19"/>
    <x v="2"/>
    <d v="2021-04-29T00:00:00"/>
    <n v="54.400000000000006"/>
  </r>
  <r>
    <x v="21"/>
    <x v="1"/>
    <d v="2021-04-29T00:00:00"/>
    <n v="50.800000000000004"/>
  </r>
  <r>
    <x v="18"/>
    <x v="4"/>
    <d v="2021-04-29T00:00:00"/>
    <n v="30"/>
  </r>
  <r>
    <x v="22"/>
    <x v="4"/>
    <d v="2021-04-30T00:00:00"/>
    <n v="614.40000000000009"/>
  </r>
  <r>
    <x v="3"/>
    <x v="1"/>
    <d v="2021-04-30T00:00:00"/>
    <n v="486.40000000000003"/>
  </r>
  <r>
    <x v="9"/>
    <x v="0"/>
    <d v="2021-04-30T00:00:00"/>
    <n v="406.40000000000003"/>
  </r>
  <r>
    <x v="8"/>
    <x v="2"/>
    <d v="2021-04-30T00:00:00"/>
    <n v="375.20000000000005"/>
  </r>
  <r>
    <x v="11"/>
    <x v="0"/>
    <d v="2021-04-30T00:00:00"/>
    <n v="370.8"/>
  </r>
  <r>
    <x v="20"/>
    <x v="3"/>
    <d v="2021-04-30T00:00:00"/>
    <n v="306.40000000000003"/>
  </r>
  <r>
    <x v="4"/>
    <x v="1"/>
    <d v="2021-04-30T00:00:00"/>
    <n v="305.60000000000002"/>
  </r>
  <r>
    <x v="2"/>
    <x v="1"/>
    <d v="2021-04-30T00:00:00"/>
    <n v="216"/>
  </r>
  <r>
    <x v="1"/>
    <x v="0"/>
    <d v="2021-04-30T00:00:00"/>
    <n v="213.60000000000002"/>
  </r>
  <r>
    <x v="0"/>
    <x v="0"/>
    <d v="2021-04-30T00:00:00"/>
    <n v="213.20000000000002"/>
  </r>
  <r>
    <x v="5"/>
    <x v="0"/>
    <d v="2021-04-30T00:00:00"/>
    <n v="204.8"/>
  </r>
  <r>
    <x v="12"/>
    <x v="3"/>
    <d v="2021-04-30T00:00:00"/>
    <n v="201.20000000000002"/>
  </r>
  <r>
    <x v="10"/>
    <x v="0"/>
    <d v="2021-04-30T00:00:00"/>
    <n v="195.20000000000002"/>
  </r>
  <r>
    <x v="6"/>
    <x v="2"/>
    <d v="2021-04-30T00:00:00"/>
    <n v="184.4"/>
  </r>
  <r>
    <x v="15"/>
    <x v="0"/>
    <d v="2021-04-30T00:00:00"/>
    <n v="182.4"/>
  </r>
  <r>
    <x v="14"/>
    <x v="3"/>
    <d v="2021-04-30T00:00:00"/>
    <n v="156.80000000000001"/>
  </r>
  <r>
    <x v="19"/>
    <x v="2"/>
    <d v="2021-04-30T00:00:00"/>
    <n v="106.4"/>
  </r>
  <r>
    <x v="13"/>
    <x v="0"/>
    <d v="2021-04-30T00:00:00"/>
    <n v="100.80000000000001"/>
  </r>
  <r>
    <x v="23"/>
    <x v="3"/>
    <d v="2021-04-30T00:00:00"/>
    <n v="84.800000000000011"/>
  </r>
  <r>
    <x v="16"/>
    <x v="1"/>
    <d v="2021-04-30T00:00:00"/>
    <n v="66.8"/>
  </r>
  <r>
    <x v="21"/>
    <x v="1"/>
    <d v="2021-04-30T00:00:00"/>
    <n v="58.400000000000006"/>
  </r>
  <r>
    <x v="17"/>
    <x v="1"/>
    <d v="2021-04-30T00:00:00"/>
    <n v="54.400000000000006"/>
  </r>
  <r>
    <x v="7"/>
    <x v="1"/>
    <d v="2021-04-30T00:00:00"/>
    <n v="41.6"/>
  </r>
  <r>
    <x v="18"/>
    <x v="4"/>
    <d v="2021-04-30T00:00:00"/>
    <n v="35.6"/>
  </r>
  <r>
    <x v="3"/>
    <x v="1"/>
    <d v="2021-05-01T00:00:00"/>
    <n v="927.2"/>
  </r>
  <r>
    <x v="22"/>
    <x v="4"/>
    <d v="2021-05-01T00:00:00"/>
    <n v="661.2"/>
  </r>
  <r>
    <x v="8"/>
    <x v="2"/>
    <d v="2021-05-01T00:00:00"/>
    <n v="432.40000000000003"/>
  </r>
  <r>
    <x v="11"/>
    <x v="0"/>
    <d v="2021-05-01T00:00:00"/>
    <n v="370.8"/>
  </r>
  <r>
    <x v="17"/>
    <x v="1"/>
    <d v="2021-05-01T00:00:00"/>
    <n v="308"/>
  </r>
  <r>
    <x v="12"/>
    <x v="3"/>
    <d v="2021-05-01T00:00:00"/>
    <n v="291.60000000000002"/>
  </r>
  <r>
    <x v="1"/>
    <x v="0"/>
    <d v="2021-05-01T00:00:00"/>
    <n v="258.8"/>
  </r>
  <r>
    <x v="20"/>
    <x v="3"/>
    <d v="2021-05-01T00:00:00"/>
    <n v="250.8"/>
  </r>
  <r>
    <x v="0"/>
    <x v="0"/>
    <d v="2021-05-01T00:00:00"/>
    <n v="234.4"/>
  </r>
  <r>
    <x v="10"/>
    <x v="0"/>
    <d v="2021-05-01T00:00:00"/>
    <n v="211.20000000000002"/>
  </r>
  <r>
    <x v="14"/>
    <x v="3"/>
    <d v="2021-05-01T00:00:00"/>
    <n v="201.60000000000002"/>
  </r>
  <r>
    <x v="6"/>
    <x v="2"/>
    <d v="2021-05-01T00:00:00"/>
    <n v="192.8"/>
  </r>
  <r>
    <x v="4"/>
    <x v="1"/>
    <d v="2021-05-01T00:00:00"/>
    <n v="176"/>
  </r>
  <r>
    <x v="5"/>
    <x v="0"/>
    <d v="2021-05-01T00:00:00"/>
    <n v="164.8"/>
  </r>
  <r>
    <x v="9"/>
    <x v="0"/>
    <d v="2021-05-01T00:00:00"/>
    <n v="163.60000000000002"/>
  </r>
  <r>
    <x v="2"/>
    <x v="1"/>
    <d v="2021-05-01T00:00:00"/>
    <n v="148.80000000000001"/>
  </r>
  <r>
    <x v="7"/>
    <x v="1"/>
    <d v="2021-05-01T00:00:00"/>
    <n v="126.80000000000001"/>
  </r>
  <r>
    <x v="23"/>
    <x v="3"/>
    <d v="2021-05-01T00:00:00"/>
    <n v="88"/>
  </r>
  <r>
    <x v="15"/>
    <x v="0"/>
    <d v="2021-05-01T00:00:00"/>
    <n v="66"/>
  </r>
  <r>
    <x v="16"/>
    <x v="1"/>
    <d v="2021-05-01T00:00:00"/>
    <n v="58"/>
  </r>
  <r>
    <x v="21"/>
    <x v="1"/>
    <d v="2021-05-01T00:00:00"/>
    <n v="52.800000000000004"/>
  </r>
  <r>
    <x v="18"/>
    <x v="4"/>
    <d v="2021-05-01T00:00:00"/>
    <n v="47.2"/>
  </r>
  <r>
    <x v="13"/>
    <x v="0"/>
    <d v="2021-05-01T00:00:00"/>
    <n v="38.400000000000006"/>
  </r>
  <r>
    <x v="19"/>
    <x v="2"/>
    <d v="2021-05-01T00:00:00"/>
    <n v="35.6"/>
  </r>
  <r>
    <x v="22"/>
    <x v="4"/>
    <d v="2021-05-02T00:00:00"/>
    <n v="668.80000000000007"/>
  </r>
  <r>
    <x v="3"/>
    <x v="1"/>
    <d v="2021-05-02T00:00:00"/>
    <n v="578.80000000000007"/>
  </r>
  <r>
    <x v="1"/>
    <x v="0"/>
    <d v="2021-05-02T00:00:00"/>
    <n v="471.20000000000005"/>
  </r>
  <r>
    <x v="5"/>
    <x v="0"/>
    <d v="2021-05-02T00:00:00"/>
    <n v="441.6"/>
  </r>
  <r>
    <x v="6"/>
    <x v="2"/>
    <d v="2021-05-02T00:00:00"/>
    <n v="399.6"/>
  </r>
  <r>
    <x v="8"/>
    <x v="2"/>
    <d v="2021-05-02T00:00:00"/>
    <n v="317.60000000000002"/>
  </r>
  <r>
    <x v="0"/>
    <x v="0"/>
    <d v="2021-05-02T00:00:00"/>
    <n v="290.40000000000003"/>
  </r>
  <r>
    <x v="14"/>
    <x v="3"/>
    <d v="2021-05-02T00:00:00"/>
    <n v="274"/>
  </r>
  <r>
    <x v="23"/>
    <x v="3"/>
    <d v="2021-05-02T00:00:00"/>
    <n v="254.4"/>
  </r>
  <r>
    <x v="20"/>
    <x v="3"/>
    <d v="2021-05-02T00:00:00"/>
    <n v="227.60000000000002"/>
  </r>
  <r>
    <x v="15"/>
    <x v="0"/>
    <d v="2021-05-02T00:00:00"/>
    <n v="226.4"/>
  </r>
  <r>
    <x v="9"/>
    <x v="0"/>
    <d v="2021-05-02T00:00:00"/>
    <n v="202.4"/>
  </r>
  <r>
    <x v="4"/>
    <x v="1"/>
    <d v="2021-05-02T00:00:00"/>
    <n v="197.60000000000002"/>
  </r>
  <r>
    <x v="10"/>
    <x v="0"/>
    <d v="2021-05-02T00:00:00"/>
    <n v="194"/>
  </r>
  <r>
    <x v="11"/>
    <x v="0"/>
    <d v="2021-05-02T00:00:00"/>
    <n v="190.8"/>
  </r>
  <r>
    <x v="17"/>
    <x v="1"/>
    <d v="2021-05-02T00:00:00"/>
    <n v="180.4"/>
  </r>
  <r>
    <x v="12"/>
    <x v="3"/>
    <d v="2021-05-02T00:00:00"/>
    <n v="152.4"/>
  </r>
  <r>
    <x v="2"/>
    <x v="1"/>
    <d v="2021-05-02T00:00:00"/>
    <n v="124.80000000000001"/>
  </r>
  <r>
    <x v="16"/>
    <x v="1"/>
    <d v="2021-05-02T00:00:00"/>
    <n v="84.4"/>
  </r>
  <r>
    <x v="13"/>
    <x v="0"/>
    <d v="2021-05-02T00:00:00"/>
    <n v="80"/>
  </r>
  <r>
    <x v="19"/>
    <x v="2"/>
    <d v="2021-05-02T00:00:00"/>
    <n v="74.8"/>
  </r>
  <r>
    <x v="18"/>
    <x v="4"/>
    <d v="2021-05-02T00:00:00"/>
    <n v="58.400000000000006"/>
  </r>
  <r>
    <x v="7"/>
    <x v="1"/>
    <d v="2021-05-02T00:00:00"/>
    <n v="54.400000000000006"/>
  </r>
  <r>
    <x v="21"/>
    <x v="1"/>
    <d v="2021-05-02T00:00:00"/>
    <n v="14"/>
  </r>
  <r>
    <x v="3"/>
    <x v="1"/>
    <d v="2021-05-03T00:00:00"/>
    <n v="824.40000000000009"/>
  </r>
  <r>
    <x v="20"/>
    <x v="3"/>
    <d v="2021-05-03T00:00:00"/>
    <n v="492"/>
  </r>
  <r>
    <x v="0"/>
    <x v="0"/>
    <d v="2021-05-03T00:00:00"/>
    <n v="395.6"/>
  </r>
  <r>
    <x v="22"/>
    <x v="4"/>
    <d v="2021-05-03T00:00:00"/>
    <n v="349.20000000000005"/>
  </r>
  <r>
    <x v="8"/>
    <x v="2"/>
    <d v="2021-05-03T00:00:00"/>
    <n v="333.20000000000005"/>
  </r>
  <r>
    <x v="15"/>
    <x v="0"/>
    <d v="2021-05-03T00:00:00"/>
    <n v="277.60000000000002"/>
  </r>
  <r>
    <x v="1"/>
    <x v="0"/>
    <d v="2021-05-03T00:00:00"/>
    <n v="268.8"/>
  </r>
  <r>
    <x v="11"/>
    <x v="0"/>
    <d v="2021-05-03T00:00:00"/>
    <n v="266.40000000000003"/>
  </r>
  <r>
    <x v="4"/>
    <x v="1"/>
    <d v="2021-05-03T00:00:00"/>
    <n v="265.2"/>
  </r>
  <r>
    <x v="17"/>
    <x v="1"/>
    <d v="2021-05-03T00:00:00"/>
    <n v="256.8"/>
  </r>
  <r>
    <x v="10"/>
    <x v="0"/>
    <d v="2021-05-03T00:00:00"/>
    <n v="246"/>
  </r>
  <r>
    <x v="5"/>
    <x v="0"/>
    <d v="2021-05-03T00:00:00"/>
    <n v="234.4"/>
  </r>
  <r>
    <x v="6"/>
    <x v="2"/>
    <d v="2021-05-03T00:00:00"/>
    <n v="208.4"/>
  </r>
  <r>
    <x v="2"/>
    <x v="1"/>
    <d v="2021-05-03T00:00:00"/>
    <n v="175.60000000000002"/>
  </r>
  <r>
    <x v="14"/>
    <x v="3"/>
    <d v="2021-05-03T00:00:00"/>
    <n v="158.80000000000001"/>
  </r>
  <r>
    <x v="7"/>
    <x v="1"/>
    <d v="2021-05-03T00:00:00"/>
    <n v="150.80000000000001"/>
  </r>
  <r>
    <x v="16"/>
    <x v="1"/>
    <d v="2021-05-03T00:00:00"/>
    <n v="130"/>
  </r>
  <r>
    <x v="9"/>
    <x v="0"/>
    <d v="2021-05-03T00:00:00"/>
    <n v="100"/>
  </r>
  <r>
    <x v="18"/>
    <x v="4"/>
    <d v="2021-05-03T00:00:00"/>
    <n v="97.600000000000009"/>
  </r>
  <r>
    <x v="12"/>
    <x v="3"/>
    <d v="2021-05-03T00:00:00"/>
    <n v="95.600000000000009"/>
  </r>
  <r>
    <x v="13"/>
    <x v="0"/>
    <d v="2021-05-03T00:00:00"/>
    <n v="80.400000000000006"/>
  </r>
  <r>
    <x v="19"/>
    <x v="2"/>
    <d v="2021-05-03T00:00:00"/>
    <n v="70.8"/>
  </r>
  <r>
    <x v="21"/>
    <x v="1"/>
    <d v="2021-05-03T00:00:00"/>
    <n v="61.2"/>
  </r>
  <r>
    <x v="23"/>
    <x v="3"/>
    <d v="2021-05-03T00:00:00"/>
    <n v="42"/>
  </r>
  <r>
    <x v="22"/>
    <x v="4"/>
    <d v="2021-05-04T00:00:00"/>
    <n v="744.80000000000007"/>
  </r>
  <r>
    <x v="2"/>
    <x v="1"/>
    <d v="2021-05-04T00:00:00"/>
    <n v="543.20000000000005"/>
  </r>
  <r>
    <x v="8"/>
    <x v="2"/>
    <d v="2021-05-04T00:00:00"/>
    <n v="508"/>
  </r>
  <r>
    <x v="9"/>
    <x v="0"/>
    <d v="2021-05-04T00:00:00"/>
    <n v="420.8"/>
  </r>
  <r>
    <x v="14"/>
    <x v="3"/>
    <d v="2021-05-04T00:00:00"/>
    <n v="410"/>
  </r>
  <r>
    <x v="4"/>
    <x v="1"/>
    <d v="2021-05-04T00:00:00"/>
    <n v="410"/>
  </r>
  <r>
    <x v="17"/>
    <x v="1"/>
    <d v="2021-05-04T00:00:00"/>
    <n v="388.40000000000003"/>
  </r>
  <r>
    <x v="3"/>
    <x v="1"/>
    <d v="2021-05-04T00:00:00"/>
    <n v="384.40000000000003"/>
  </r>
  <r>
    <x v="20"/>
    <x v="3"/>
    <d v="2021-05-04T00:00:00"/>
    <n v="370"/>
  </r>
  <r>
    <x v="0"/>
    <x v="0"/>
    <d v="2021-05-04T00:00:00"/>
    <n v="365.20000000000005"/>
  </r>
  <r>
    <x v="6"/>
    <x v="2"/>
    <d v="2021-05-04T00:00:00"/>
    <n v="351.20000000000005"/>
  </r>
  <r>
    <x v="10"/>
    <x v="0"/>
    <d v="2021-05-04T00:00:00"/>
    <n v="316.40000000000003"/>
  </r>
  <r>
    <x v="5"/>
    <x v="0"/>
    <d v="2021-05-04T00:00:00"/>
    <n v="293.60000000000002"/>
  </r>
  <r>
    <x v="1"/>
    <x v="0"/>
    <d v="2021-05-04T00:00:00"/>
    <n v="273.2"/>
  </r>
  <r>
    <x v="11"/>
    <x v="0"/>
    <d v="2021-05-04T00:00:00"/>
    <n v="216.4"/>
  </r>
  <r>
    <x v="13"/>
    <x v="0"/>
    <d v="2021-05-04T00:00:00"/>
    <n v="202.4"/>
  </r>
  <r>
    <x v="23"/>
    <x v="3"/>
    <d v="2021-05-04T00:00:00"/>
    <n v="183.60000000000002"/>
  </r>
  <r>
    <x v="7"/>
    <x v="1"/>
    <d v="2021-05-04T00:00:00"/>
    <n v="176"/>
  </r>
  <r>
    <x v="16"/>
    <x v="1"/>
    <d v="2021-05-04T00:00:00"/>
    <n v="166.4"/>
  </r>
  <r>
    <x v="12"/>
    <x v="3"/>
    <d v="2021-05-04T00:00:00"/>
    <n v="135.6"/>
  </r>
  <r>
    <x v="15"/>
    <x v="0"/>
    <d v="2021-05-04T00:00:00"/>
    <n v="128.4"/>
  </r>
  <r>
    <x v="18"/>
    <x v="4"/>
    <d v="2021-05-04T00:00:00"/>
    <n v="123.2"/>
  </r>
  <r>
    <x v="19"/>
    <x v="2"/>
    <d v="2021-05-04T00:00:00"/>
    <n v="33.6"/>
  </r>
  <r>
    <x v="21"/>
    <x v="1"/>
    <d v="2021-05-04T00:00:00"/>
    <n v="12.4"/>
  </r>
  <r>
    <x v="11"/>
    <x v="0"/>
    <d v="2021-05-05T00:00:00"/>
    <n v="996"/>
  </r>
  <r>
    <x v="22"/>
    <x v="4"/>
    <d v="2021-05-05T00:00:00"/>
    <n v="748.80000000000007"/>
  </r>
  <r>
    <x v="3"/>
    <x v="1"/>
    <d v="2021-05-05T00:00:00"/>
    <n v="558.80000000000007"/>
  </r>
  <r>
    <x v="2"/>
    <x v="1"/>
    <d v="2021-05-05T00:00:00"/>
    <n v="505.20000000000005"/>
  </r>
  <r>
    <x v="8"/>
    <x v="2"/>
    <d v="2021-05-05T00:00:00"/>
    <n v="457.6"/>
  </r>
  <r>
    <x v="9"/>
    <x v="0"/>
    <d v="2021-05-05T00:00:00"/>
    <n v="444.40000000000003"/>
  </r>
  <r>
    <x v="0"/>
    <x v="0"/>
    <d v="2021-05-05T00:00:00"/>
    <n v="429.6"/>
  </r>
  <r>
    <x v="14"/>
    <x v="3"/>
    <d v="2021-05-05T00:00:00"/>
    <n v="338.40000000000003"/>
  </r>
  <r>
    <x v="20"/>
    <x v="3"/>
    <d v="2021-05-05T00:00:00"/>
    <n v="325.60000000000002"/>
  </r>
  <r>
    <x v="5"/>
    <x v="0"/>
    <d v="2021-05-05T00:00:00"/>
    <n v="325.20000000000005"/>
  </r>
  <r>
    <x v="4"/>
    <x v="1"/>
    <d v="2021-05-05T00:00:00"/>
    <n v="304"/>
  </r>
  <r>
    <x v="10"/>
    <x v="0"/>
    <d v="2021-05-05T00:00:00"/>
    <n v="299.60000000000002"/>
  </r>
  <r>
    <x v="15"/>
    <x v="0"/>
    <d v="2021-05-05T00:00:00"/>
    <n v="270"/>
  </r>
  <r>
    <x v="13"/>
    <x v="0"/>
    <d v="2021-05-05T00:00:00"/>
    <n v="246.8"/>
  </r>
  <r>
    <x v="12"/>
    <x v="3"/>
    <d v="2021-05-05T00:00:00"/>
    <n v="234.8"/>
  </r>
  <r>
    <x v="17"/>
    <x v="1"/>
    <d v="2021-05-05T00:00:00"/>
    <n v="208.4"/>
  </r>
  <r>
    <x v="1"/>
    <x v="0"/>
    <d v="2021-05-05T00:00:00"/>
    <n v="154.4"/>
  </r>
  <r>
    <x v="23"/>
    <x v="3"/>
    <d v="2021-05-05T00:00:00"/>
    <n v="121.60000000000001"/>
  </r>
  <r>
    <x v="7"/>
    <x v="1"/>
    <d v="2021-05-05T00:00:00"/>
    <n v="103.2"/>
  </r>
  <r>
    <x v="19"/>
    <x v="2"/>
    <d v="2021-05-05T00:00:00"/>
    <n v="102.80000000000001"/>
  </r>
  <r>
    <x v="16"/>
    <x v="1"/>
    <d v="2021-05-05T00:00:00"/>
    <n v="94.800000000000011"/>
  </r>
  <r>
    <x v="6"/>
    <x v="2"/>
    <d v="2021-05-05T00:00:00"/>
    <n v="86.4"/>
  </r>
  <r>
    <x v="18"/>
    <x v="4"/>
    <d v="2021-05-05T00:00:00"/>
    <n v="54.800000000000004"/>
  </r>
  <r>
    <x v="3"/>
    <x v="1"/>
    <d v="2021-05-06T00:00:00"/>
    <n v="1256"/>
  </r>
  <r>
    <x v="22"/>
    <x v="4"/>
    <d v="2021-05-06T00:00:00"/>
    <n v="1071.6000000000001"/>
  </r>
  <r>
    <x v="8"/>
    <x v="2"/>
    <d v="2021-05-06T00:00:00"/>
    <n v="617.20000000000005"/>
  </r>
  <r>
    <x v="9"/>
    <x v="0"/>
    <d v="2021-05-06T00:00:00"/>
    <n v="580.4"/>
  </r>
  <r>
    <x v="0"/>
    <x v="0"/>
    <d v="2021-05-06T00:00:00"/>
    <n v="580"/>
  </r>
  <r>
    <x v="11"/>
    <x v="0"/>
    <d v="2021-05-06T00:00:00"/>
    <n v="556"/>
  </r>
  <r>
    <x v="4"/>
    <x v="1"/>
    <d v="2021-05-06T00:00:00"/>
    <n v="434.40000000000003"/>
  </r>
  <r>
    <x v="6"/>
    <x v="2"/>
    <d v="2021-05-06T00:00:00"/>
    <n v="433.20000000000005"/>
  </r>
  <r>
    <x v="20"/>
    <x v="3"/>
    <d v="2021-05-06T00:00:00"/>
    <n v="355.6"/>
  </r>
  <r>
    <x v="18"/>
    <x v="4"/>
    <d v="2021-05-06T00:00:00"/>
    <n v="331.6"/>
  </r>
  <r>
    <x v="14"/>
    <x v="3"/>
    <d v="2021-05-06T00:00:00"/>
    <n v="326.40000000000003"/>
  </r>
  <r>
    <x v="17"/>
    <x v="1"/>
    <d v="2021-05-06T00:00:00"/>
    <n v="324"/>
  </r>
  <r>
    <x v="5"/>
    <x v="0"/>
    <d v="2021-05-06T00:00:00"/>
    <n v="321.60000000000002"/>
  </r>
  <r>
    <x v="12"/>
    <x v="3"/>
    <d v="2021-05-06T00:00:00"/>
    <n v="287.2"/>
  </r>
  <r>
    <x v="15"/>
    <x v="0"/>
    <d v="2021-05-06T00:00:00"/>
    <n v="275.60000000000002"/>
  </r>
  <r>
    <x v="1"/>
    <x v="0"/>
    <d v="2021-05-06T00:00:00"/>
    <n v="269.60000000000002"/>
  </r>
  <r>
    <x v="10"/>
    <x v="0"/>
    <d v="2021-05-06T00:00:00"/>
    <n v="224.8"/>
  </r>
  <r>
    <x v="7"/>
    <x v="1"/>
    <d v="2021-05-06T00:00:00"/>
    <n v="190.8"/>
  </r>
  <r>
    <x v="16"/>
    <x v="1"/>
    <d v="2021-05-06T00:00:00"/>
    <n v="172.8"/>
  </r>
  <r>
    <x v="2"/>
    <x v="1"/>
    <d v="2021-05-06T00:00:00"/>
    <n v="119.2"/>
  </r>
  <r>
    <x v="21"/>
    <x v="1"/>
    <d v="2021-05-06T00:00:00"/>
    <n v="94.800000000000011"/>
  </r>
  <r>
    <x v="19"/>
    <x v="2"/>
    <d v="2021-05-06T00:00:00"/>
    <n v="93.600000000000009"/>
  </r>
  <r>
    <x v="13"/>
    <x v="0"/>
    <d v="2021-05-06T00:00:00"/>
    <n v="87.600000000000009"/>
  </r>
  <r>
    <x v="23"/>
    <x v="3"/>
    <d v="2021-05-06T00:00:00"/>
    <n v="51.6"/>
  </r>
  <r>
    <x v="3"/>
    <x v="1"/>
    <d v="2021-05-07T00:00:00"/>
    <n v="1051.2"/>
  </r>
  <r>
    <x v="8"/>
    <x v="2"/>
    <d v="2021-05-07T00:00:00"/>
    <n v="742"/>
  </r>
  <r>
    <x v="22"/>
    <x v="4"/>
    <d v="2021-05-07T00:00:00"/>
    <n v="729.6"/>
  </r>
  <r>
    <x v="1"/>
    <x v="0"/>
    <d v="2021-05-07T00:00:00"/>
    <n v="666.80000000000007"/>
  </r>
  <r>
    <x v="0"/>
    <x v="0"/>
    <d v="2021-05-07T00:00:00"/>
    <n v="615.6"/>
  </r>
  <r>
    <x v="4"/>
    <x v="1"/>
    <d v="2021-05-07T00:00:00"/>
    <n v="607.6"/>
  </r>
  <r>
    <x v="11"/>
    <x v="0"/>
    <d v="2021-05-07T00:00:00"/>
    <n v="534"/>
  </r>
  <r>
    <x v="5"/>
    <x v="0"/>
    <d v="2021-05-07T00:00:00"/>
    <n v="444.40000000000003"/>
  </r>
  <r>
    <x v="20"/>
    <x v="3"/>
    <d v="2021-05-07T00:00:00"/>
    <n v="368.40000000000003"/>
  </r>
  <r>
    <x v="15"/>
    <x v="0"/>
    <d v="2021-05-07T00:00:00"/>
    <n v="350"/>
  </r>
  <r>
    <x v="23"/>
    <x v="3"/>
    <d v="2021-05-07T00:00:00"/>
    <n v="311.20000000000005"/>
  </r>
  <r>
    <x v="12"/>
    <x v="3"/>
    <d v="2021-05-07T00:00:00"/>
    <n v="293.60000000000002"/>
  </r>
  <r>
    <x v="2"/>
    <x v="1"/>
    <d v="2021-05-07T00:00:00"/>
    <n v="264"/>
  </r>
  <r>
    <x v="9"/>
    <x v="0"/>
    <d v="2021-05-07T00:00:00"/>
    <n v="238.4"/>
  </r>
  <r>
    <x v="17"/>
    <x v="1"/>
    <d v="2021-05-07T00:00:00"/>
    <n v="236.4"/>
  </r>
  <r>
    <x v="10"/>
    <x v="0"/>
    <d v="2021-05-07T00:00:00"/>
    <n v="219.20000000000002"/>
  </r>
  <r>
    <x v="14"/>
    <x v="3"/>
    <d v="2021-05-07T00:00:00"/>
    <n v="215.60000000000002"/>
  </r>
  <r>
    <x v="16"/>
    <x v="1"/>
    <d v="2021-05-07T00:00:00"/>
    <n v="143.20000000000002"/>
  </r>
  <r>
    <x v="13"/>
    <x v="0"/>
    <d v="2021-05-07T00:00:00"/>
    <n v="120.80000000000001"/>
  </r>
  <r>
    <x v="19"/>
    <x v="2"/>
    <d v="2021-05-07T00:00:00"/>
    <n v="116"/>
  </r>
  <r>
    <x v="7"/>
    <x v="1"/>
    <d v="2021-05-07T00:00:00"/>
    <n v="107.60000000000001"/>
  </r>
  <r>
    <x v="18"/>
    <x v="4"/>
    <d v="2021-05-07T00:00:00"/>
    <n v="72.400000000000006"/>
  </r>
  <r>
    <x v="3"/>
    <x v="1"/>
    <d v="2021-05-08T00:00:00"/>
    <n v="907.2"/>
  </r>
  <r>
    <x v="0"/>
    <x v="0"/>
    <d v="2021-05-08T00:00:00"/>
    <n v="520"/>
  </r>
  <r>
    <x v="15"/>
    <x v="0"/>
    <d v="2021-05-08T00:00:00"/>
    <n v="502.40000000000003"/>
  </r>
  <r>
    <x v="1"/>
    <x v="0"/>
    <d v="2021-05-08T00:00:00"/>
    <n v="490.8"/>
  </r>
  <r>
    <x v="11"/>
    <x v="0"/>
    <d v="2021-05-08T00:00:00"/>
    <n v="465.20000000000005"/>
  </r>
  <r>
    <x v="4"/>
    <x v="1"/>
    <d v="2021-05-08T00:00:00"/>
    <n v="446.8"/>
  </r>
  <r>
    <x v="8"/>
    <x v="2"/>
    <d v="2021-05-08T00:00:00"/>
    <n v="422.40000000000003"/>
  </r>
  <r>
    <x v="12"/>
    <x v="3"/>
    <d v="2021-05-08T00:00:00"/>
    <n v="406"/>
  </r>
  <r>
    <x v="5"/>
    <x v="0"/>
    <d v="2021-05-08T00:00:00"/>
    <n v="396.40000000000003"/>
  </r>
  <r>
    <x v="14"/>
    <x v="3"/>
    <d v="2021-05-08T00:00:00"/>
    <n v="310"/>
  </r>
  <r>
    <x v="19"/>
    <x v="2"/>
    <d v="2021-05-08T00:00:00"/>
    <n v="295.60000000000002"/>
  </r>
  <r>
    <x v="10"/>
    <x v="0"/>
    <d v="2021-05-08T00:00:00"/>
    <n v="269.2"/>
  </r>
  <r>
    <x v="9"/>
    <x v="0"/>
    <d v="2021-05-08T00:00:00"/>
    <n v="251.20000000000002"/>
  </r>
  <r>
    <x v="2"/>
    <x v="1"/>
    <d v="2021-05-08T00:00:00"/>
    <n v="210.4"/>
  </r>
  <r>
    <x v="7"/>
    <x v="1"/>
    <d v="2021-05-08T00:00:00"/>
    <n v="196.4"/>
  </r>
  <r>
    <x v="17"/>
    <x v="1"/>
    <d v="2021-05-08T00:00:00"/>
    <n v="191.60000000000002"/>
  </r>
  <r>
    <x v="21"/>
    <x v="1"/>
    <d v="2021-05-08T00:00:00"/>
    <n v="181.20000000000002"/>
  </r>
  <r>
    <x v="16"/>
    <x v="1"/>
    <d v="2021-05-08T00:00:00"/>
    <n v="178.4"/>
  </r>
  <r>
    <x v="23"/>
    <x v="3"/>
    <d v="2021-05-08T00:00:00"/>
    <n v="158.80000000000001"/>
  </r>
  <r>
    <x v="13"/>
    <x v="0"/>
    <d v="2021-05-08T00:00:00"/>
    <n v="156.80000000000001"/>
  </r>
  <r>
    <x v="18"/>
    <x v="4"/>
    <d v="2021-05-08T00:00:00"/>
    <n v="130"/>
  </r>
  <r>
    <x v="20"/>
    <x v="3"/>
    <d v="2021-05-08T00:00:00"/>
    <n v="121.60000000000001"/>
  </r>
  <r>
    <x v="3"/>
    <x v="1"/>
    <d v="2021-05-09T00:00:00"/>
    <n v="1114.4000000000001"/>
  </r>
  <r>
    <x v="22"/>
    <x v="4"/>
    <d v="2021-05-09T00:00:00"/>
    <n v="924.80000000000007"/>
  </r>
  <r>
    <x v="8"/>
    <x v="2"/>
    <d v="2021-05-09T00:00:00"/>
    <n v="572"/>
  </r>
  <r>
    <x v="0"/>
    <x v="0"/>
    <d v="2021-05-09T00:00:00"/>
    <n v="534"/>
  </r>
  <r>
    <x v="11"/>
    <x v="0"/>
    <d v="2021-05-09T00:00:00"/>
    <n v="517.6"/>
  </r>
  <r>
    <x v="16"/>
    <x v="1"/>
    <d v="2021-05-09T00:00:00"/>
    <n v="438.40000000000003"/>
  </r>
  <r>
    <x v="1"/>
    <x v="0"/>
    <d v="2021-05-09T00:00:00"/>
    <n v="428"/>
  </r>
  <r>
    <x v="19"/>
    <x v="2"/>
    <d v="2021-05-09T00:00:00"/>
    <n v="356"/>
  </r>
  <r>
    <x v="9"/>
    <x v="0"/>
    <d v="2021-05-09T00:00:00"/>
    <n v="342"/>
  </r>
  <r>
    <x v="12"/>
    <x v="3"/>
    <d v="2021-05-09T00:00:00"/>
    <n v="331.20000000000005"/>
  </r>
  <r>
    <x v="15"/>
    <x v="0"/>
    <d v="2021-05-09T00:00:00"/>
    <n v="311.60000000000002"/>
  </r>
  <r>
    <x v="4"/>
    <x v="1"/>
    <d v="2021-05-09T00:00:00"/>
    <n v="259.60000000000002"/>
  </r>
  <r>
    <x v="14"/>
    <x v="3"/>
    <d v="2021-05-09T00:00:00"/>
    <n v="238.4"/>
  </r>
  <r>
    <x v="10"/>
    <x v="0"/>
    <d v="2021-05-09T00:00:00"/>
    <n v="225.60000000000002"/>
  </r>
  <r>
    <x v="20"/>
    <x v="3"/>
    <d v="2021-05-09T00:00:00"/>
    <n v="222.4"/>
  </r>
  <r>
    <x v="23"/>
    <x v="3"/>
    <d v="2021-05-09T00:00:00"/>
    <n v="198.8"/>
  </r>
  <r>
    <x v="21"/>
    <x v="1"/>
    <d v="2021-05-09T00:00:00"/>
    <n v="140.4"/>
  </r>
  <r>
    <x v="7"/>
    <x v="1"/>
    <d v="2021-05-09T00:00:00"/>
    <n v="119.60000000000001"/>
  </r>
  <r>
    <x v="17"/>
    <x v="1"/>
    <d v="2021-05-09T00:00:00"/>
    <n v="111.2"/>
  </r>
  <r>
    <x v="18"/>
    <x v="4"/>
    <d v="2021-05-09T00:00:00"/>
    <n v="97.600000000000009"/>
  </r>
  <r>
    <x v="13"/>
    <x v="0"/>
    <d v="2021-05-09T00:00:00"/>
    <n v="81.2"/>
  </r>
  <r>
    <x v="22"/>
    <x v="4"/>
    <d v="2021-05-10T00:00:00"/>
    <n v="883.6"/>
  </r>
  <r>
    <x v="3"/>
    <x v="1"/>
    <d v="2021-05-10T00:00:00"/>
    <n v="814.80000000000007"/>
  </r>
  <r>
    <x v="1"/>
    <x v="0"/>
    <d v="2021-05-10T00:00:00"/>
    <n v="590.4"/>
  </r>
  <r>
    <x v="2"/>
    <x v="1"/>
    <d v="2021-05-10T00:00:00"/>
    <n v="516"/>
  </r>
  <r>
    <x v="14"/>
    <x v="3"/>
    <d v="2021-05-10T00:00:00"/>
    <n v="511.20000000000005"/>
  </r>
  <r>
    <x v="6"/>
    <x v="2"/>
    <d v="2021-05-10T00:00:00"/>
    <n v="468.8"/>
  </r>
  <r>
    <x v="4"/>
    <x v="1"/>
    <d v="2021-05-10T00:00:00"/>
    <n v="442.40000000000003"/>
  </r>
  <r>
    <x v="0"/>
    <x v="0"/>
    <d v="2021-05-10T00:00:00"/>
    <n v="410.8"/>
  </r>
  <r>
    <x v="11"/>
    <x v="0"/>
    <d v="2021-05-10T00:00:00"/>
    <n v="383.6"/>
  </r>
  <r>
    <x v="23"/>
    <x v="3"/>
    <d v="2021-05-10T00:00:00"/>
    <n v="378.40000000000003"/>
  </r>
  <r>
    <x v="8"/>
    <x v="2"/>
    <d v="2021-05-10T00:00:00"/>
    <n v="364.8"/>
  </r>
  <r>
    <x v="17"/>
    <x v="1"/>
    <d v="2021-05-10T00:00:00"/>
    <n v="339.20000000000005"/>
  </r>
  <r>
    <x v="12"/>
    <x v="3"/>
    <d v="2021-05-10T00:00:00"/>
    <n v="329.6"/>
  </r>
  <r>
    <x v="9"/>
    <x v="0"/>
    <d v="2021-05-10T00:00:00"/>
    <n v="319.60000000000002"/>
  </r>
  <r>
    <x v="5"/>
    <x v="0"/>
    <d v="2021-05-10T00:00:00"/>
    <n v="298.8"/>
  </r>
  <r>
    <x v="15"/>
    <x v="0"/>
    <d v="2021-05-10T00:00:00"/>
    <n v="244.4"/>
  </r>
  <r>
    <x v="21"/>
    <x v="1"/>
    <d v="2021-05-10T00:00:00"/>
    <n v="184.4"/>
  </r>
  <r>
    <x v="16"/>
    <x v="1"/>
    <d v="2021-05-10T00:00:00"/>
    <n v="174.4"/>
  </r>
  <r>
    <x v="10"/>
    <x v="0"/>
    <d v="2021-05-10T00:00:00"/>
    <n v="157.20000000000002"/>
  </r>
  <r>
    <x v="7"/>
    <x v="1"/>
    <d v="2021-05-10T00:00:00"/>
    <n v="150"/>
  </r>
  <r>
    <x v="19"/>
    <x v="2"/>
    <d v="2021-05-10T00:00:00"/>
    <n v="127.60000000000001"/>
  </r>
  <r>
    <x v="20"/>
    <x v="3"/>
    <d v="2021-05-10T00:00:00"/>
    <n v="93.2"/>
  </r>
  <r>
    <x v="13"/>
    <x v="0"/>
    <d v="2021-05-10T00:00:00"/>
    <n v="20.400000000000002"/>
  </r>
  <r>
    <x v="18"/>
    <x v="4"/>
    <d v="2021-05-10T00:00:00"/>
    <n v="17.600000000000001"/>
  </r>
  <r>
    <x v="6"/>
    <x v="2"/>
    <d v="2021-05-11T00:00:00"/>
    <n v="881.2"/>
  </r>
  <r>
    <x v="22"/>
    <x v="4"/>
    <d v="2021-05-11T00:00:00"/>
    <n v="777.6"/>
  </r>
  <r>
    <x v="0"/>
    <x v="0"/>
    <d v="2021-05-11T00:00:00"/>
    <n v="618.40000000000009"/>
  </r>
  <r>
    <x v="3"/>
    <x v="1"/>
    <d v="2021-05-11T00:00:00"/>
    <n v="544.4"/>
  </r>
  <r>
    <x v="17"/>
    <x v="1"/>
    <d v="2021-05-11T00:00:00"/>
    <n v="448"/>
  </r>
  <r>
    <x v="1"/>
    <x v="0"/>
    <d v="2021-05-11T00:00:00"/>
    <n v="443.6"/>
  </r>
  <r>
    <x v="23"/>
    <x v="3"/>
    <d v="2021-05-11T00:00:00"/>
    <n v="410.8"/>
  </r>
  <r>
    <x v="8"/>
    <x v="2"/>
    <d v="2021-05-11T00:00:00"/>
    <n v="388.8"/>
  </r>
  <r>
    <x v="15"/>
    <x v="0"/>
    <d v="2021-05-11T00:00:00"/>
    <n v="359.6"/>
  </r>
  <r>
    <x v="2"/>
    <x v="1"/>
    <d v="2021-05-11T00:00:00"/>
    <n v="356.8"/>
  </r>
  <r>
    <x v="11"/>
    <x v="0"/>
    <d v="2021-05-11T00:00:00"/>
    <n v="336"/>
  </r>
  <r>
    <x v="5"/>
    <x v="0"/>
    <d v="2021-05-11T00:00:00"/>
    <n v="310"/>
  </r>
  <r>
    <x v="4"/>
    <x v="1"/>
    <d v="2021-05-11T00:00:00"/>
    <n v="296.8"/>
  </r>
  <r>
    <x v="9"/>
    <x v="0"/>
    <d v="2021-05-11T00:00:00"/>
    <n v="284.8"/>
  </r>
  <r>
    <x v="10"/>
    <x v="0"/>
    <d v="2021-05-11T00:00:00"/>
    <n v="266"/>
  </r>
  <r>
    <x v="12"/>
    <x v="3"/>
    <d v="2021-05-11T00:00:00"/>
    <n v="234.4"/>
  </r>
  <r>
    <x v="20"/>
    <x v="3"/>
    <d v="2021-05-11T00:00:00"/>
    <n v="191.20000000000002"/>
  </r>
  <r>
    <x v="14"/>
    <x v="3"/>
    <d v="2021-05-11T00:00:00"/>
    <n v="152"/>
  </r>
  <r>
    <x v="7"/>
    <x v="1"/>
    <d v="2021-05-11T00:00:00"/>
    <n v="151.6"/>
  </r>
  <r>
    <x v="21"/>
    <x v="1"/>
    <d v="2021-05-11T00:00:00"/>
    <n v="147.20000000000002"/>
  </r>
  <r>
    <x v="19"/>
    <x v="2"/>
    <d v="2021-05-11T00:00:00"/>
    <n v="120"/>
  </r>
  <r>
    <x v="13"/>
    <x v="0"/>
    <d v="2021-05-11T00:00:00"/>
    <n v="63.2"/>
  </r>
  <r>
    <x v="16"/>
    <x v="1"/>
    <d v="2021-05-11T00:00:00"/>
    <n v="55.6"/>
  </r>
  <r>
    <x v="22"/>
    <x v="4"/>
    <d v="2021-05-12T00:00:00"/>
    <n v="718.40000000000009"/>
  </r>
  <r>
    <x v="5"/>
    <x v="0"/>
    <d v="2021-05-12T00:00:00"/>
    <n v="558.80000000000007"/>
  </r>
  <r>
    <x v="3"/>
    <x v="1"/>
    <d v="2021-05-12T00:00:00"/>
    <n v="528.4"/>
  </r>
  <r>
    <x v="1"/>
    <x v="0"/>
    <d v="2021-05-12T00:00:00"/>
    <n v="474"/>
  </r>
  <r>
    <x v="8"/>
    <x v="2"/>
    <d v="2021-05-12T00:00:00"/>
    <n v="461.6"/>
  </r>
  <r>
    <x v="14"/>
    <x v="3"/>
    <d v="2021-05-12T00:00:00"/>
    <n v="396.8"/>
  </r>
  <r>
    <x v="11"/>
    <x v="0"/>
    <d v="2021-05-12T00:00:00"/>
    <n v="372.8"/>
  </r>
  <r>
    <x v="0"/>
    <x v="0"/>
    <d v="2021-05-12T00:00:00"/>
    <n v="352"/>
  </r>
  <r>
    <x v="2"/>
    <x v="1"/>
    <d v="2021-05-12T00:00:00"/>
    <n v="330.8"/>
  </r>
  <r>
    <x v="6"/>
    <x v="2"/>
    <d v="2021-05-12T00:00:00"/>
    <n v="298.40000000000003"/>
  </r>
  <r>
    <x v="12"/>
    <x v="3"/>
    <d v="2021-05-12T00:00:00"/>
    <n v="292.8"/>
  </r>
  <r>
    <x v="20"/>
    <x v="3"/>
    <d v="2021-05-12T00:00:00"/>
    <n v="291.60000000000002"/>
  </r>
  <r>
    <x v="15"/>
    <x v="0"/>
    <d v="2021-05-12T00:00:00"/>
    <n v="273.2"/>
  </r>
  <r>
    <x v="9"/>
    <x v="0"/>
    <d v="2021-05-12T00:00:00"/>
    <n v="254.8"/>
  </r>
  <r>
    <x v="17"/>
    <x v="1"/>
    <d v="2021-05-12T00:00:00"/>
    <n v="252"/>
  </r>
  <r>
    <x v="23"/>
    <x v="3"/>
    <d v="2021-05-12T00:00:00"/>
    <n v="240"/>
  </r>
  <r>
    <x v="4"/>
    <x v="1"/>
    <d v="2021-05-12T00:00:00"/>
    <n v="234.8"/>
  </r>
  <r>
    <x v="10"/>
    <x v="0"/>
    <d v="2021-05-12T00:00:00"/>
    <n v="206.8"/>
  </r>
  <r>
    <x v="19"/>
    <x v="2"/>
    <d v="2021-05-12T00:00:00"/>
    <n v="146.80000000000001"/>
  </r>
  <r>
    <x v="16"/>
    <x v="1"/>
    <d v="2021-05-12T00:00:00"/>
    <n v="130.80000000000001"/>
  </r>
  <r>
    <x v="13"/>
    <x v="0"/>
    <d v="2021-05-12T00:00:00"/>
    <n v="120.4"/>
  </r>
  <r>
    <x v="21"/>
    <x v="1"/>
    <d v="2021-05-12T00:00:00"/>
    <n v="67.2"/>
  </r>
  <r>
    <x v="7"/>
    <x v="1"/>
    <d v="2021-05-12T00:00:00"/>
    <n v="55.6"/>
  </r>
  <r>
    <x v="3"/>
    <x v="1"/>
    <d v="2021-05-13T00:00:00"/>
    <n v="1144"/>
  </r>
  <r>
    <x v="22"/>
    <x v="4"/>
    <d v="2021-05-13T00:00:00"/>
    <n v="1134"/>
  </r>
  <r>
    <x v="5"/>
    <x v="0"/>
    <d v="2021-05-13T00:00:00"/>
    <n v="920"/>
  </r>
  <r>
    <x v="1"/>
    <x v="0"/>
    <d v="2021-05-13T00:00:00"/>
    <n v="812.80000000000007"/>
  </r>
  <r>
    <x v="2"/>
    <x v="1"/>
    <d v="2021-05-13T00:00:00"/>
    <n v="802.40000000000009"/>
  </r>
  <r>
    <x v="0"/>
    <x v="0"/>
    <d v="2021-05-13T00:00:00"/>
    <n v="779.6"/>
  </r>
  <r>
    <x v="8"/>
    <x v="2"/>
    <d v="2021-05-13T00:00:00"/>
    <n v="744.40000000000009"/>
  </r>
  <r>
    <x v="6"/>
    <x v="2"/>
    <d v="2021-05-13T00:00:00"/>
    <n v="706.80000000000007"/>
  </r>
  <r>
    <x v="15"/>
    <x v="0"/>
    <d v="2021-05-13T00:00:00"/>
    <n v="652.80000000000007"/>
  </r>
  <r>
    <x v="4"/>
    <x v="1"/>
    <d v="2021-05-13T00:00:00"/>
    <n v="596.4"/>
  </r>
  <r>
    <x v="11"/>
    <x v="0"/>
    <d v="2021-05-13T00:00:00"/>
    <n v="544.4"/>
  </r>
  <r>
    <x v="9"/>
    <x v="0"/>
    <d v="2021-05-13T00:00:00"/>
    <n v="511.20000000000005"/>
  </r>
  <r>
    <x v="17"/>
    <x v="1"/>
    <d v="2021-05-13T00:00:00"/>
    <n v="467.20000000000005"/>
  </r>
  <r>
    <x v="10"/>
    <x v="0"/>
    <d v="2021-05-13T00:00:00"/>
    <n v="407.6"/>
  </r>
  <r>
    <x v="12"/>
    <x v="3"/>
    <d v="2021-05-13T00:00:00"/>
    <n v="326"/>
  </r>
  <r>
    <x v="13"/>
    <x v="0"/>
    <d v="2021-05-13T00:00:00"/>
    <n v="312.40000000000003"/>
  </r>
  <r>
    <x v="14"/>
    <x v="3"/>
    <d v="2021-05-13T00:00:00"/>
    <n v="304.8"/>
  </r>
  <r>
    <x v="7"/>
    <x v="1"/>
    <d v="2021-05-13T00:00:00"/>
    <n v="235.20000000000002"/>
  </r>
  <r>
    <x v="23"/>
    <x v="3"/>
    <d v="2021-05-13T00:00:00"/>
    <n v="232.8"/>
  </r>
  <r>
    <x v="16"/>
    <x v="1"/>
    <d v="2021-05-13T00:00:00"/>
    <n v="164.4"/>
  </r>
  <r>
    <x v="21"/>
    <x v="1"/>
    <d v="2021-05-13T00:00:00"/>
    <n v="154.80000000000001"/>
  </r>
  <r>
    <x v="19"/>
    <x v="2"/>
    <d v="2021-05-13T00:00:00"/>
    <n v="65.2"/>
  </r>
  <r>
    <x v="20"/>
    <x v="3"/>
    <d v="2021-05-13T00:00:00"/>
    <n v="57.6"/>
  </r>
  <r>
    <x v="3"/>
    <x v="1"/>
    <d v="2021-05-14T00:00:00"/>
    <n v="1609.2"/>
  </r>
  <r>
    <x v="8"/>
    <x v="2"/>
    <d v="2021-05-14T00:00:00"/>
    <n v="1050.4000000000001"/>
  </r>
  <r>
    <x v="22"/>
    <x v="4"/>
    <d v="2021-05-14T00:00:00"/>
    <n v="961.6"/>
  </r>
  <r>
    <x v="0"/>
    <x v="0"/>
    <d v="2021-05-14T00:00:00"/>
    <n v="914"/>
  </r>
  <r>
    <x v="1"/>
    <x v="0"/>
    <d v="2021-05-14T00:00:00"/>
    <n v="901.2"/>
  </r>
  <r>
    <x v="12"/>
    <x v="3"/>
    <d v="2021-05-14T00:00:00"/>
    <n v="642.40000000000009"/>
  </r>
  <r>
    <x v="17"/>
    <x v="1"/>
    <d v="2021-05-14T00:00:00"/>
    <n v="608"/>
  </r>
  <r>
    <x v="15"/>
    <x v="0"/>
    <d v="2021-05-14T00:00:00"/>
    <n v="575.6"/>
  </r>
  <r>
    <x v="5"/>
    <x v="0"/>
    <d v="2021-05-14T00:00:00"/>
    <n v="473.20000000000005"/>
  </r>
  <r>
    <x v="6"/>
    <x v="2"/>
    <d v="2021-05-14T00:00:00"/>
    <n v="465.6"/>
  </r>
  <r>
    <x v="13"/>
    <x v="0"/>
    <d v="2021-05-14T00:00:00"/>
    <n v="428.40000000000003"/>
  </r>
  <r>
    <x v="23"/>
    <x v="3"/>
    <d v="2021-05-14T00:00:00"/>
    <n v="401.6"/>
  </r>
  <r>
    <x v="4"/>
    <x v="1"/>
    <d v="2021-05-14T00:00:00"/>
    <n v="356"/>
  </r>
  <r>
    <x v="9"/>
    <x v="0"/>
    <d v="2021-05-14T00:00:00"/>
    <n v="341.6"/>
  </r>
  <r>
    <x v="11"/>
    <x v="0"/>
    <d v="2021-05-14T00:00:00"/>
    <n v="324.8"/>
  </r>
  <r>
    <x v="10"/>
    <x v="0"/>
    <d v="2021-05-14T00:00:00"/>
    <n v="316.40000000000003"/>
  </r>
  <r>
    <x v="20"/>
    <x v="3"/>
    <d v="2021-05-14T00:00:00"/>
    <n v="278"/>
  </r>
  <r>
    <x v="2"/>
    <x v="1"/>
    <d v="2021-05-14T00:00:00"/>
    <n v="269.60000000000002"/>
  </r>
  <r>
    <x v="14"/>
    <x v="3"/>
    <d v="2021-05-14T00:00:00"/>
    <n v="240.8"/>
  </r>
  <r>
    <x v="7"/>
    <x v="1"/>
    <d v="2021-05-14T00:00:00"/>
    <n v="208.4"/>
  </r>
  <r>
    <x v="21"/>
    <x v="1"/>
    <d v="2021-05-14T00:00:00"/>
    <n v="165.60000000000002"/>
  </r>
  <r>
    <x v="16"/>
    <x v="1"/>
    <d v="2021-05-14T00:00:00"/>
    <n v="164.8"/>
  </r>
  <r>
    <x v="19"/>
    <x v="2"/>
    <d v="2021-05-14T00:00:00"/>
    <n v="126.4"/>
  </r>
  <r>
    <x v="18"/>
    <x v="4"/>
    <d v="2021-05-14T00:00:00"/>
    <n v="92"/>
  </r>
  <r>
    <x v="22"/>
    <x v="4"/>
    <d v="2021-05-15T00:00:00"/>
    <n v="1262.4000000000001"/>
  </r>
  <r>
    <x v="1"/>
    <x v="0"/>
    <d v="2021-05-15T00:00:00"/>
    <n v="1201.2"/>
  </r>
  <r>
    <x v="3"/>
    <x v="1"/>
    <d v="2021-05-15T00:00:00"/>
    <n v="1196.4000000000001"/>
  </r>
  <r>
    <x v="8"/>
    <x v="2"/>
    <d v="2021-05-15T00:00:00"/>
    <n v="1190.8"/>
  </r>
  <r>
    <x v="0"/>
    <x v="0"/>
    <d v="2021-05-15T00:00:00"/>
    <n v="938"/>
  </r>
  <r>
    <x v="6"/>
    <x v="2"/>
    <d v="2021-05-15T00:00:00"/>
    <n v="753.2"/>
  </r>
  <r>
    <x v="4"/>
    <x v="1"/>
    <d v="2021-05-15T00:00:00"/>
    <n v="701.6"/>
  </r>
  <r>
    <x v="15"/>
    <x v="0"/>
    <d v="2021-05-15T00:00:00"/>
    <n v="691.2"/>
  </r>
  <r>
    <x v="5"/>
    <x v="0"/>
    <d v="2021-05-15T00:00:00"/>
    <n v="586.4"/>
  </r>
  <r>
    <x v="20"/>
    <x v="3"/>
    <d v="2021-05-15T00:00:00"/>
    <n v="566"/>
  </r>
  <r>
    <x v="9"/>
    <x v="0"/>
    <d v="2021-05-15T00:00:00"/>
    <n v="541.20000000000005"/>
  </r>
  <r>
    <x v="23"/>
    <x v="3"/>
    <d v="2021-05-15T00:00:00"/>
    <n v="450.8"/>
  </r>
  <r>
    <x v="2"/>
    <x v="1"/>
    <d v="2021-05-15T00:00:00"/>
    <n v="448"/>
  </r>
  <r>
    <x v="12"/>
    <x v="3"/>
    <d v="2021-05-15T00:00:00"/>
    <n v="447.20000000000005"/>
  </r>
  <r>
    <x v="10"/>
    <x v="0"/>
    <d v="2021-05-15T00:00:00"/>
    <n v="395.6"/>
  </r>
  <r>
    <x v="11"/>
    <x v="0"/>
    <d v="2021-05-15T00:00:00"/>
    <n v="388"/>
  </r>
  <r>
    <x v="14"/>
    <x v="3"/>
    <d v="2021-05-15T00:00:00"/>
    <n v="350.8"/>
  </r>
  <r>
    <x v="17"/>
    <x v="1"/>
    <d v="2021-05-15T00:00:00"/>
    <n v="317.20000000000005"/>
  </r>
  <r>
    <x v="7"/>
    <x v="1"/>
    <d v="2021-05-15T00:00:00"/>
    <n v="256.40000000000003"/>
  </r>
  <r>
    <x v="16"/>
    <x v="1"/>
    <d v="2021-05-15T00:00:00"/>
    <n v="178.8"/>
  </r>
  <r>
    <x v="13"/>
    <x v="0"/>
    <d v="2021-05-15T00:00:00"/>
    <n v="130.4"/>
  </r>
  <r>
    <x v="21"/>
    <x v="1"/>
    <d v="2021-05-15T00:00:00"/>
    <n v="82.4"/>
  </r>
  <r>
    <x v="18"/>
    <x v="4"/>
    <d v="2021-05-15T00:00:00"/>
    <n v="37.200000000000003"/>
  </r>
  <r>
    <x v="19"/>
    <x v="2"/>
    <d v="2021-05-15T00:00:00"/>
    <n v="37.200000000000003"/>
  </r>
  <r>
    <x v="3"/>
    <x v="1"/>
    <d v="2021-05-16T00:00:00"/>
    <n v="1350"/>
  </r>
  <r>
    <x v="22"/>
    <x v="4"/>
    <d v="2021-05-16T00:00:00"/>
    <n v="935.6"/>
  </r>
  <r>
    <x v="1"/>
    <x v="0"/>
    <d v="2021-05-16T00:00:00"/>
    <n v="926"/>
  </r>
  <r>
    <x v="9"/>
    <x v="0"/>
    <d v="2021-05-16T00:00:00"/>
    <n v="924"/>
  </r>
  <r>
    <x v="0"/>
    <x v="0"/>
    <d v="2021-05-16T00:00:00"/>
    <n v="767.6"/>
  </r>
  <r>
    <x v="11"/>
    <x v="0"/>
    <d v="2021-05-16T00:00:00"/>
    <n v="761.2"/>
  </r>
  <r>
    <x v="6"/>
    <x v="2"/>
    <d v="2021-05-16T00:00:00"/>
    <n v="710.80000000000007"/>
  </r>
  <r>
    <x v="8"/>
    <x v="2"/>
    <d v="2021-05-16T00:00:00"/>
    <n v="702"/>
  </r>
  <r>
    <x v="5"/>
    <x v="0"/>
    <d v="2021-05-16T00:00:00"/>
    <n v="668.40000000000009"/>
  </r>
  <r>
    <x v="23"/>
    <x v="3"/>
    <d v="2021-05-16T00:00:00"/>
    <n v="649.20000000000005"/>
  </r>
  <r>
    <x v="4"/>
    <x v="1"/>
    <d v="2021-05-16T00:00:00"/>
    <n v="586"/>
  </r>
  <r>
    <x v="20"/>
    <x v="3"/>
    <d v="2021-05-16T00:00:00"/>
    <n v="466.40000000000003"/>
  </r>
  <r>
    <x v="12"/>
    <x v="3"/>
    <d v="2021-05-16T00:00:00"/>
    <n v="414"/>
  </r>
  <r>
    <x v="2"/>
    <x v="1"/>
    <d v="2021-05-16T00:00:00"/>
    <n v="410.40000000000003"/>
  </r>
  <r>
    <x v="17"/>
    <x v="1"/>
    <d v="2021-05-16T00:00:00"/>
    <n v="330"/>
  </r>
  <r>
    <x v="10"/>
    <x v="0"/>
    <d v="2021-05-16T00:00:00"/>
    <n v="329.20000000000005"/>
  </r>
  <r>
    <x v="14"/>
    <x v="3"/>
    <d v="2021-05-16T00:00:00"/>
    <n v="267.2"/>
  </r>
  <r>
    <x v="16"/>
    <x v="1"/>
    <d v="2021-05-16T00:00:00"/>
    <n v="258"/>
  </r>
  <r>
    <x v="13"/>
    <x v="0"/>
    <d v="2021-05-16T00:00:00"/>
    <n v="238.8"/>
  </r>
  <r>
    <x v="15"/>
    <x v="0"/>
    <d v="2021-05-16T00:00:00"/>
    <n v="214"/>
  </r>
  <r>
    <x v="7"/>
    <x v="1"/>
    <d v="2021-05-16T00:00:00"/>
    <n v="157.20000000000002"/>
  </r>
  <r>
    <x v="19"/>
    <x v="2"/>
    <d v="2021-05-16T00:00:00"/>
    <n v="61.2"/>
  </r>
  <r>
    <x v="18"/>
    <x v="4"/>
    <d v="2021-05-16T00:00:00"/>
    <n v="39.200000000000003"/>
  </r>
  <r>
    <x v="0"/>
    <x v="0"/>
    <d v="2021-05-17T00:00:00"/>
    <n v="1476.8000000000002"/>
  </r>
  <r>
    <x v="9"/>
    <x v="0"/>
    <d v="2021-05-17T00:00:00"/>
    <n v="971.2"/>
  </r>
  <r>
    <x v="2"/>
    <x v="1"/>
    <d v="2021-05-17T00:00:00"/>
    <n v="776"/>
  </r>
  <r>
    <x v="3"/>
    <x v="1"/>
    <d v="2021-05-17T00:00:00"/>
    <n v="746"/>
  </r>
  <r>
    <x v="6"/>
    <x v="2"/>
    <d v="2021-05-17T00:00:00"/>
    <n v="742.80000000000007"/>
  </r>
  <r>
    <x v="5"/>
    <x v="0"/>
    <d v="2021-05-17T00:00:00"/>
    <n v="677.2"/>
  </r>
  <r>
    <x v="11"/>
    <x v="0"/>
    <d v="2021-05-17T00:00:00"/>
    <n v="675.2"/>
  </r>
  <r>
    <x v="12"/>
    <x v="3"/>
    <d v="2021-05-17T00:00:00"/>
    <n v="586.80000000000007"/>
  </r>
  <r>
    <x v="1"/>
    <x v="0"/>
    <d v="2021-05-17T00:00:00"/>
    <n v="578.80000000000007"/>
  </r>
  <r>
    <x v="15"/>
    <x v="0"/>
    <d v="2021-05-17T00:00:00"/>
    <n v="555.20000000000005"/>
  </r>
  <r>
    <x v="13"/>
    <x v="0"/>
    <d v="2021-05-17T00:00:00"/>
    <n v="542.4"/>
  </r>
  <r>
    <x v="8"/>
    <x v="2"/>
    <d v="2021-05-17T00:00:00"/>
    <n v="513.20000000000005"/>
  </r>
  <r>
    <x v="10"/>
    <x v="0"/>
    <d v="2021-05-17T00:00:00"/>
    <n v="497.6"/>
  </r>
  <r>
    <x v="16"/>
    <x v="1"/>
    <d v="2021-05-17T00:00:00"/>
    <n v="492"/>
  </r>
  <r>
    <x v="23"/>
    <x v="3"/>
    <d v="2021-05-17T00:00:00"/>
    <n v="485.6"/>
  </r>
  <r>
    <x v="22"/>
    <x v="4"/>
    <d v="2021-05-17T00:00:00"/>
    <n v="452"/>
  </r>
  <r>
    <x v="7"/>
    <x v="1"/>
    <d v="2021-05-17T00:00:00"/>
    <n v="431.6"/>
  </r>
  <r>
    <x v="20"/>
    <x v="3"/>
    <d v="2021-05-17T00:00:00"/>
    <n v="398.8"/>
  </r>
  <r>
    <x v="17"/>
    <x v="1"/>
    <d v="2021-05-17T00:00:00"/>
    <n v="394.8"/>
  </r>
  <r>
    <x v="14"/>
    <x v="3"/>
    <d v="2021-05-17T00:00:00"/>
    <n v="353.6"/>
  </r>
  <r>
    <x v="4"/>
    <x v="1"/>
    <d v="2021-05-17T00:00:00"/>
    <n v="312"/>
  </r>
  <r>
    <x v="21"/>
    <x v="1"/>
    <d v="2021-05-17T00:00:00"/>
    <n v="250.8"/>
  </r>
  <r>
    <x v="19"/>
    <x v="2"/>
    <d v="2021-05-17T00:00:00"/>
    <n v="162"/>
  </r>
  <r>
    <x v="18"/>
    <x v="4"/>
    <d v="2021-05-17T00:00:00"/>
    <n v="140"/>
  </r>
  <r>
    <x v="0"/>
    <x v="0"/>
    <d v="2021-05-18T00:00:00"/>
    <n v="1622"/>
  </r>
  <r>
    <x v="6"/>
    <x v="2"/>
    <d v="2021-05-18T00:00:00"/>
    <n v="1052"/>
  </r>
  <r>
    <x v="1"/>
    <x v="0"/>
    <d v="2021-05-18T00:00:00"/>
    <n v="898.80000000000007"/>
  </r>
  <r>
    <x v="16"/>
    <x v="1"/>
    <d v="2021-05-18T00:00:00"/>
    <n v="845.6"/>
  </r>
  <r>
    <x v="3"/>
    <x v="1"/>
    <d v="2021-05-18T00:00:00"/>
    <n v="817.2"/>
  </r>
  <r>
    <x v="12"/>
    <x v="3"/>
    <d v="2021-05-18T00:00:00"/>
    <n v="809.6"/>
  </r>
  <r>
    <x v="9"/>
    <x v="0"/>
    <d v="2021-05-18T00:00:00"/>
    <n v="776"/>
  </r>
  <r>
    <x v="10"/>
    <x v="0"/>
    <d v="2021-05-18T00:00:00"/>
    <n v="699.2"/>
  </r>
  <r>
    <x v="15"/>
    <x v="0"/>
    <d v="2021-05-18T00:00:00"/>
    <n v="682"/>
  </r>
  <r>
    <x v="5"/>
    <x v="0"/>
    <d v="2021-05-18T00:00:00"/>
    <n v="677.2"/>
  </r>
  <r>
    <x v="23"/>
    <x v="3"/>
    <d v="2021-05-18T00:00:00"/>
    <n v="672"/>
  </r>
  <r>
    <x v="4"/>
    <x v="1"/>
    <d v="2021-05-18T00:00:00"/>
    <n v="537.20000000000005"/>
  </r>
  <r>
    <x v="11"/>
    <x v="0"/>
    <d v="2021-05-18T00:00:00"/>
    <n v="519.20000000000005"/>
  </r>
  <r>
    <x v="22"/>
    <x v="4"/>
    <d v="2021-05-18T00:00:00"/>
    <n v="481.6"/>
  </r>
  <r>
    <x v="8"/>
    <x v="2"/>
    <d v="2021-05-18T00:00:00"/>
    <n v="411.20000000000005"/>
  </r>
  <r>
    <x v="7"/>
    <x v="1"/>
    <d v="2021-05-18T00:00:00"/>
    <n v="396"/>
  </r>
  <r>
    <x v="18"/>
    <x v="4"/>
    <d v="2021-05-18T00:00:00"/>
    <n v="388.8"/>
  </r>
  <r>
    <x v="17"/>
    <x v="1"/>
    <d v="2021-05-18T00:00:00"/>
    <n v="363.20000000000005"/>
  </r>
  <r>
    <x v="14"/>
    <x v="3"/>
    <d v="2021-05-18T00:00:00"/>
    <n v="361.6"/>
  </r>
  <r>
    <x v="20"/>
    <x v="3"/>
    <d v="2021-05-18T00:00:00"/>
    <n v="334.8"/>
  </r>
  <r>
    <x v="21"/>
    <x v="1"/>
    <d v="2021-05-18T00:00:00"/>
    <n v="310"/>
  </r>
  <r>
    <x v="13"/>
    <x v="0"/>
    <d v="2021-05-18T00:00:00"/>
    <n v="245.60000000000002"/>
  </r>
  <r>
    <x v="19"/>
    <x v="2"/>
    <d v="2021-05-18T00:00:00"/>
    <n v="168.8"/>
  </r>
  <r>
    <x v="2"/>
    <x v="1"/>
    <d v="2021-05-18T00:00:00"/>
    <n v="1320.4"/>
  </r>
  <r>
    <x v="0"/>
    <x v="0"/>
    <d v="2021-05-19T00:00:00"/>
    <n v="1254"/>
  </r>
  <r>
    <x v="9"/>
    <x v="0"/>
    <d v="2021-05-19T00:00:00"/>
    <n v="1140.8"/>
  </r>
  <r>
    <x v="11"/>
    <x v="0"/>
    <d v="2021-05-19T00:00:00"/>
    <n v="972.80000000000007"/>
  </r>
  <r>
    <x v="1"/>
    <x v="0"/>
    <d v="2021-05-19T00:00:00"/>
    <n v="914"/>
  </r>
  <r>
    <x v="3"/>
    <x v="1"/>
    <d v="2021-05-19T00:00:00"/>
    <n v="898.40000000000009"/>
  </r>
  <r>
    <x v="8"/>
    <x v="2"/>
    <d v="2021-05-19T00:00:00"/>
    <n v="851.6"/>
  </r>
  <r>
    <x v="15"/>
    <x v="0"/>
    <d v="2021-05-19T00:00:00"/>
    <n v="837.2"/>
  </r>
  <r>
    <x v="2"/>
    <x v="1"/>
    <d v="2021-05-19T00:00:00"/>
    <n v="824.80000000000007"/>
  </r>
  <r>
    <x v="6"/>
    <x v="2"/>
    <d v="2021-05-19T00:00:00"/>
    <n v="769.6"/>
  </r>
  <r>
    <x v="5"/>
    <x v="0"/>
    <d v="2021-05-19T00:00:00"/>
    <n v="719.2"/>
  </r>
  <r>
    <x v="7"/>
    <x v="1"/>
    <d v="2021-05-19T00:00:00"/>
    <n v="718.80000000000007"/>
  </r>
  <r>
    <x v="16"/>
    <x v="1"/>
    <d v="2021-05-19T00:00:00"/>
    <n v="616"/>
  </r>
  <r>
    <x v="10"/>
    <x v="0"/>
    <d v="2021-05-19T00:00:00"/>
    <n v="598"/>
  </r>
  <r>
    <x v="12"/>
    <x v="3"/>
    <d v="2021-05-19T00:00:00"/>
    <n v="495.6"/>
  </r>
  <r>
    <x v="22"/>
    <x v="4"/>
    <d v="2021-05-19T00:00:00"/>
    <n v="481.6"/>
  </r>
  <r>
    <x v="4"/>
    <x v="1"/>
    <d v="2021-05-19T00:00:00"/>
    <n v="435.20000000000005"/>
  </r>
  <r>
    <x v="13"/>
    <x v="0"/>
    <d v="2021-05-19T00:00:00"/>
    <n v="427.20000000000005"/>
  </r>
  <r>
    <x v="20"/>
    <x v="3"/>
    <d v="2021-05-19T00:00:00"/>
    <n v="416.8"/>
  </r>
  <r>
    <x v="21"/>
    <x v="1"/>
    <d v="2021-05-19T00:00:00"/>
    <n v="376.8"/>
  </r>
  <r>
    <x v="18"/>
    <x v="4"/>
    <d v="2021-05-19T00:00:00"/>
    <n v="367.6"/>
  </r>
  <r>
    <x v="17"/>
    <x v="1"/>
    <d v="2021-05-19T00:00:00"/>
    <n v="357.6"/>
  </r>
  <r>
    <x v="23"/>
    <x v="3"/>
    <d v="2021-05-19T00:00:00"/>
    <n v="261.60000000000002"/>
  </r>
  <r>
    <x v="14"/>
    <x v="3"/>
    <d v="2021-05-19T00:00:00"/>
    <n v="244"/>
  </r>
  <r>
    <x v="19"/>
    <x v="2"/>
    <d v="2021-05-19T00:00:00"/>
    <n v="241.60000000000002"/>
  </r>
  <r>
    <x v="9"/>
    <x v="0"/>
    <d v="2021-05-20T00:00:00"/>
    <n v="1584.8000000000002"/>
  </r>
  <r>
    <x v="22"/>
    <x v="4"/>
    <d v="2021-05-20T00:00:00"/>
    <n v="1397.6000000000001"/>
  </r>
  <r>
    <x v="3"/>
    <x v="1"/>
    <d v="2021-05-20T00:00:00"/>
    <n v="1187.2"/>
  </r>
  <r>
    <x v="11"/>
    <x v="0"/>
    <d v="2021-05-20T00:00:00"/>
    <n v="1096.4000000000001"/>
  </r>
  <r>
    <x v="2"/>
    <x v="1"/>
    <d v="2021-05-20T00:00:00"/>
    <n v="1072.4000000000001"/>
  </r>
  <r>
    <x v="15"/>
    <x v="0"/>
    <d v="2021-05-20T00:00:00"/>
    <n v="1068"/>
  </r>
  <r>
    <x v="8"/>
    <x v="2"/>
    <d v="2021-05-20T00:00:00"/>
    <n v="1056"/>
  </r>
  <r>
    <x v="10"/>
    <x v="0"/>
    <d v="2021-05-20T00:00:00"/>
    <n v="998.80000000000007"/>
  </r>
  <r>
    <x v="1"/>
    <x v="0"/>
    <d v="2021-05-20T00:00:00"/>
    <n v="972.40000000000009"/>
  </r>
  <r>
    <x v="16"/>
    <x v="1"/>
    <d v="2021-05-20T00:00:00"/>
    <n v="830.80000000000007"/>
  </r>
  <r>
    <x v="5"/>
    <x v="0"/>
    <d v="2021-05-20T00:00:00"/>
    <n v="815.2"/>
  </r>
  <r>
    <x v="6"/>
    <x v="2"/>
    <d v="2021-05-20T00:00:00"/>
    <n v="735.2"/>
  </r>
  <r>
    <x v="20"/>
    <x v="3"/>
    <d v="2021-05-20T00:00:00"/>
    <n v="692.80000000000007"/>
  </r>
  <r>
    <x v="12"/>
    <x v="3"/>
    <d v="2021-05-20T00:00:00"/>
    <n v="614.40000000000009"/>
  </r>
  <r>
    <x v="4"/>
    <x v="1"/>
    <d v="2021-05-20T00:00:00"/>
    <n v="612.80000000000007"/>
  </r>
  <r>
    <x v="21"/>
    <x v="1"/>
    <d v="2021-05-20T00:00:00"/>
    <n v="540"/>
  </r>
  <r>
    <x v="23"/>
    <x v="3"/>
    <d v="2021-05-20T00:00:00"/>
    <n v="524.4"/>
  </r>
  <r>
    <x v="18"/>
    <x v="4"/>
    <d v="2021-05-20T00:00:00"/>
    <n v="502"/>
  </r>
  <r>
    <x v="7"/>
    <x v="1"/>
    <d v="2021-05-20T00:00:00"/>
    <n v="488.8"/>
  </r>
  <r>
    <x v="13"/>
    <x v="0"/>
    <d v="2021-05-20T00:00:00"/>
    <n v="431.6"/>
  </r>
  <r>
    <x v="19"/>
    <x v="2"/>
    <d v="2021-05-20T00:00:00"/>
    <n v="396.8"/>
  </r>
  <r>
    <x v="14"/>
    <x v="3"/>
    <d v="2021-05-20T00:00:00"/>
    <n v="359.6"/>
  </r>
  <r>
    <x v="17"/>
    <x v="1"/>
    <d v="2021-05-20T00:00:00"/>
    <n v="252"/>
  </r>
  <r>
    <x v="0"/>
    <x v="0"/>
    <d v="2021-05-20T00:00:00"/>
    <n v="1628.8000000000002"/>
  </r>
  <r>
    <x v="3"/>
    <x v="1"/>
    <d v="2021-05-21T00:00:00"/>
    <n v="1196.8"/>
  </r>
  <r>
    <x v="8"/>
    <x v="2"/>
    <d v="2021-05-21T00:00:00"/>
    <n v="962.80000000000007"/>
  </r>
  <r>
    <x v="0"/>
    <x v="0"/>
    <d v="2021-05-21T00:00:00"/>
    <n v="847.2"/>
  </r>
  <r>
    <x v="1"/>
    <x v="0"/>
    <d v="2021-05-21T00:00:00"/>
    <n v="843.2"/>
  </r>
  <r>
    <x v="9"/>
    <x v="0"/>
    <d v="2021-05-21T00:00:00"/>
    <n v="761.6"/>
  </r>
  <r>
    <x v="22"/>
    <x v="4"/>
    <d v="2021-05-21T00:00:00"/>
    <n v="741.2"/>
  </r>
  <r>
    <x v="21"/>
    <x v="1"/>
    <d v="2021-05-21T00:00:00"/>
    <n v="689.2"/>
  </r>
  <r>
    <x v="12"/>
    <x v="3"/>
    <d v="2021-05-21T00:00:00"/>
    <n v="676.80000000000007"/>
  </r>
  <r>
    <x v="2"/>
    <x v="1"/>
    <d v="2021-05-21T00:00:00"/>
    <n v="676.40000000000009"/>
  </r>
  <r>
    <x v="19"/>
    <x v="2"/>
    <d v="2021-05-21T00:00:00"/>
    <n v="676.40000000000009"/>
  </r>
  <r>
    <x v="11"/>
    <x v="0"/>
    <d v="2021-05-21T00:00:00"/>
    <n v="652.40000000000009"/>
  </r>
  <r>
    <x v="15"/>
    <x v="0"/>
    <d v="2021-05-21T00:00:00"/>
    <n v="636.40000000000009"/>
  </r>
  <r>
    <x v="4"/>
    <x v="1"/>
    <d v="2021-05-21T00:00:00"/>
    <n v="526"/>
  </r>
  <r>
    <x v="23"/>
    <x v="3"/>
    <d v="2021-05-21T00:00:00"/>
    <n v="491.20000000000005"/>
  </r>
  <r>
    <x v="16"/>
    <x v="1"/>
    <d v="2021-05-21T00:00:00"/>
    <n v="422.8"/>
  </r>
  <r>
    <x v="10"/>
    <x v="0"/>
    <d v="2021-05-21T00:00:00"/>
    <n v="418.40000000000003"/>
  </r>
  <r>
    <x v="14"/>
    <x v="3"/>
    <d v="2021-05-21T00:00:00"/>
    <n v="390"/>
  </r>
  <r>
    <x v="20"/>
    <x v="3"/>
    <d v="2021-05-21T00:00:00"/>
    <n v="385.6"/>
  </r>
  <r>
    <x v="5"/>
    <x v="0"/>
    <d v="2021-05-21T00:00:00"/>
    <n v="304.8"/>
  </r>
  <r>
    <x v="13"/>
    <x v="0"/>
    <d v="2021-05-21T00:00:00"/>
    <n v="225.20000000000002"/>
  </r>
  <r>
    <x v="18"/>
    <x v="4"/>
    <d v="2021-05-21T00:00:00"/>
    <n v="142.4"/>
  </r>
  <r>
    <x v="7"/>
    <x v="1"/>
    <d v="2021-05-21T00:00:00"/>
    <n v="124"/>
  </r>
  <r>
    <x v="17"/>
    <x v="1"/>
    <d v="2021-05-21T00:00:00"/>
    <n v="102.4"/>
  </r>
  <r>
    <x v="6"/>
    <x v="2"/>
    <d v="2021-05-21T00:00:00"/>
    <n v="32.4"/>
  </r>
  <r>
    <x v="22"/>
    <x v="4"/>
    <d v="2021-05-22T00:00:00"/>
    <n v="1188"/>
  </r>
  <r>
    <x v="19"/>
    <x v="2"/>
    <d v="2021-05-22T00:00:00"/>
    <n v="997.6"/>
  </r>
  <r>
    <x v="3"/>
    <x v="1"/>
    <d v="2021-05-22T00:00:00"/>
    <n v="903.6"/>
  </r>
  <r>
    <x v="0"/>
    <x v="0"/>
    <d v="2021-05-22T00:00:00"/>
    <n v="780"/>
  </r>
  <r>
    <x v="1"/>
    <x v="0"/>
    <d v="2021-05-22T00:00:00"/>
    <n v="653.6"/>
  </r>
  <r>
    <x v="8"/>
    <x v="2"/>
    <d v="2021-05-22T00:00:00"/>
    <n v="630"/>
  </r>
  <r>
    <x v="9"/>
    <x v="0"/>
    <d v="2021-05-22T00:00:00"/>
    <n v="559.20000000000005"/>
  </r>
  <r>
    <x v="20"/>
    <x v="3"/>
    <d v="2021-05-22T00:00:00"/>
    <n v="498.8"/>
  </r>
  <r>
    <x v="15"/>
    <x v="0"/>
    <d v="2021-05-22T00:00:00"/>
    <n v="485.6"/>
  </r>
  <r>
    <x v="23"/>
    <x v="3"/>
    <d v="2021-05-22T00:00:00"/>
    <n v="484.8"/>
  </r>
  <r>
    <x v="6"/>
    <x v="2"/>
    <d v="2021-05-22T00:00:00"/>
    <n v="476.40000000000003"/>
  </r>
  <r>
    <x v="10"/>
    <x v="0"/>
    <d v="2021-05-22T00:00:00"/>
    <n v="412"/>
  </r>
  <r>
    <x v="12"/>
    <x v="3"/>
    <d v="2021-05-22T00:00:00"/>
    <n v="405.6"/>
  </r>
  <r>
    <x v="5"/>
    <x v="0"/>
    <d v="2021-05-22T00:00:00"/>
    <n v="396.8"/>
  </r>
  <r>
    <x v="2"/>
    <x v="1"/>
    <d v="2021-05-22T00:00:00"/>
    <n v="374"/>
  </r>
  <r>
    <x v="11"/>
    <x v="0"/>
    <d v="2021-05-22T00:00:00"/>
    <n v="370.40000000000003"/>
  </r>
  <r>
    <x v="18"/>
    <x v="4"/>
    <d v="2021-05-22T00:00:00"/>
    <n v="326"/>
  </r>
  <r>
    <x v="21"/>
    <x v="1"/>
    <d v="2021-05-22T00:00:00"/>
    <n v="324.8"/>
  </r>
  <r>
    <x v="16"/>
    <x v="1"/>
    <d v="2021-05-22T00:00:00"/>
    <n v="299.60000000000002"/>
  </r>
  <r>
    <x v="7"/>
    <x v="1"/>
    <d v="2021-05-22T00:00:00"/>
    <n v="292.8"/>
  </r>
  <r>
    <x v="14"/>
    <x v="3"/>
    <d v="2021-05-22T00:00:00"/>
    <n v="226"/>
  </r>
  <r>
    <x v="13"/>
    <x v="0"/>
    <d v="2021-05-22T00:00:00"/>
    <n v="205.60000000000002"/>
  </r>
  <r>
    <x v="17"/>
    <x v="1"/>
    <d v="2021-05-22T00:00:00"/>
    <n v="160"/>
  </r>
  <r>
    <x v="4"/>
    <x v="1"/>
    <d v="2021-05-22T00:00:00"/>
    <n v="158"/>
  </r>
  <r>
    <x v="22"/>
    <x v="4"/>
    <d v="2021-05-23T00:00:00"/>
    <n v="1375.2"/>
  </r>
  <r>
    <x v="2"/>
    <x v="1"/>
    <d v="2021-05-23T00:00:00"/>
    <n v="1374.8000000000002"/>
  </r>
  <r>
    <x v="0"/>
    <x v="0"/>
    <d v="2021-05-23T00:00:00"/>
    <n v="1129.2"/>
  </r>
  <r>
    <x v="3"/>
    <x v="1"/>
    <d v="2021-05-23T00:00:00"/>
    <n v="1030"/>
  </r>
  <r>
    <x v="7"/>
    <x v="1"/>
    <d v="2021-05-23T00:00:00"/>
    <n v="862"/>
  </r>
  <r>
    <x v="8"/>
    <x v="2"/>
    <d v="2021-05-23T00:00:00"/>
    <n v="856.40000000000009"/>
  </r>
  <r>
    <x v="11"/>
    <x v="0"/>
    <d v="2021-05-23T00:00:00"/>
    <n v="849.2"/>
  </r>
  <r>
    <x v="9"/>
    <x v="0"/>
    <d v="2021-05-23T00:00:00"/>
    <n v="832"/>
  </r>
  <r>
    <x v="15"/>
    <x v="0"/>
    <d v="2021-05-23T00:00:00"/>
    <n v="822.80000000000007"/>
  </r>
  <r>
    <x v="1"/>
    <x v="0"/>
    <d v="2021-05-23T00:00:00"/>
    <n v="820"/>
  </r>
  <r>
    <x v="12"/>
    <x v="3"/>
    <d v="2021-05-23T00:00:00"/>
    <n v="751.6"/>
  </r>
  <r>
    <x v="18"/>
    <x v="4"/>
    <d v="2021-05-23T00:00:00"/>
    <n v="616.80000000000007"/>
  </r>
  <r>
    <x v="16"/>
    <x v="1"/>
    <d v="2021-05-23T00:00:00"/>
    <n v="594"/>
  </r>
  <r>
    <x v="21"/>
    <x v="1"/>
    <d v="2021-05-23T00:00:00"/>
    <n v="590"/>
  </r>
  <r>
    <x v="5"/>
    <x v="0"/>
    <d v="2021-05-23T00:00:00"/>
    <n v="560.4"/>
  </r>
  <r>
    <x v="6"/>
    <x v="2"/>
    <d v="2021-05-23T00:00:00"/>
    <n v="485.6"/>
  </r>
  <r>
    <x v="10"/>
    <x v="0"/>
    <d v="2021-05-23T00:00:00"/>
    <n v="463.20000000000005"/>
  </r>
  <r>
    <x v="23"/>
    <x v="3"/>
    <d v="2021-05-23T00:00:00"/>
    <n v="432"/>
  </r>
  <r>
    <x v="20"/>
    <x v="3"/>
    <d v="2021-05-23T00:00:00"/>
    <n v="365.6"/>
  </r>
  <r>
    <x v="13"/>
    <x v="0"/>
    <d v="2021-05-23T00:00:00"/>
    <n v="364"/>
  </r>
  <r>
    <x v="19"/>
    <x v="2"/>
    <d v="2021-05-23T00:00:00"/>
    <n v="344.40000000000003"/>
  </r>
  <r>
    <x v="4"/>
    <x v="1"/>
    <d v="2021-05-23T00:00:00"/>
    <n v="330.40000000000003"/>
  </r>
  <r>
    <x v="14"/>
    <x v="3"/>
    <d v="2021-05-23T00:00:00"/>
    <n v="303.60000000000002"/>
  </r>
  <r>
    <x v="17"/>
    <x v="1"/>
    <d v="2021-05-23T00:00:00"/>
    <n v="294.40000000000003"/>
  </r>
  <r>
    <x v="22"/>
    <x v="4"/>
    <d v="2021-05-24T00:00:00"/>
    <n v="1546.8000000000002"/>
  </r>
  <r>
    <x v="0"/>
    <x v="0"/>
    <d v="2021-05-24T00:00:00"/>
    <n v="1444"/>
  </r>
  <r>
    <x v="9"/>
    <x v="0"/>
    <d v="2021-05-24T00:00:00"/>
    <n v="1111.6000000000001"/>
  </r>
  <r>
    <x v="2"/>
    <x v="1"/>
    <d v="2021-05-24T00:00:00"/>
    <n v="1079.2"/>
  </r>
  <r>
    <x v="3"/>
    <x v="1"/>
    <d v="2021-05-24T00:00:00"/>
    <n v="918.40000000000009"/>
  </r>
  <r>
    <x v="16"/>
    <x v="1"/>
    <d v="2021-05-24T00:00:00"/>
    <n v="875.2"/>
  </r>
  <r>
    <x v="5"/>
    <x v="0"/>
    <d v="2021-05-24T00:00:00"/>
    <n v="848.40000000000009"/>
  </r>
  <r>
    <x v="11"/>
    <x v="0"/>
    <d v="2021-05-24T00:00:00"/>
    <n v="844"/>
  </r>
  <r>
    <x v="1"/>
    <x v="0"/>
    <d v="2021-05-24T00:00:00"/>
    <n v="770"/>
  </r>
  <r>
    <x v="12"/>
    <x v="3"/>
    <d v="2021-05-24T00:00:00"/>
    <n v="698.80000000000007"/>
  </r>
  <r>
    <x v="7"/>
    <x v="1"/>
    <d v="2021-05-24T00:00:00"/>
    <n v="671.2"/>
  </r>
  <r>
    <x v="4"/>
    <x v="1"/>
    <d v="2021-05-24T00:00:00"/>
    <n v="665.2"/>
  </r>
  <r>
    <x v="8"/>
    <x v="2"/>
    <d v="2021-05-24T00:00:00"/>
    <n v="618"/>
  </r>
  <r>
    <x v="18"/>
    <x v="4"/>
    <d v="2021-05-24T00:00:00"/>
    <n v="576"/>
  </r>
  <r>
    <x v="15"/>
    <x v="0"/>
    <d v="2021-05-24T00:00:00"/>
    <n v="557.6"/>
  </r>
  <r>
    <x v="10"/>
    <x v="0"/>
    <d v="2021-05-24T00:00:00"/>
    <n v="492.40000000000003"/>
  </r>
  <r>
    <x v="23"/>
    <x v="3"/>
    <d v="2021-05-24T00:00:00"/>
    <n v="491.6"/>
  </r>
  <r>
    <x v="20"/>
    <x v="3"/>
    <d v="2021-05-24T00:00:00"/>
    <n v="472.40000000000003"/>
  </r>
  <r>
    <x v="17"/>
    <x v="1"/>
    <d v="2021-05-24T00:00:00"/>
    <n v="372.8"/>
  </r>
  <r>
    <x v="21"/>
    <x v="1"/>
    <d v="2021-05-24T00:00:00"/>
    <n v="338"/>
  </r>
  <r>
    <x v="13"/>
    <x v="0"/>
    <d v="2021-05-24T00:00:00"/>
    <n v="328.40000000000003"/>
  </r>
  <r>
    <x v="14"/>
    <x v="3"/>
    <d v="2021-05-24T00:00:00"/>
    <n v="219.20000000000002"/>
  </r>
  <r>
    <x v="19"/>
    <x v="2"/>
    <d v="2021-05-24T00:00:00"/>
    <n v="58.400000000000006"/>
  </r>
  <r>
    <x v="6"/>
    <x v="2"/>
    <d v="2021-05-24T00:00:00"/>
    <n v="1291.2"/>
  </r>
  <r>
    <x v="11"/>
    <x v="0"/>
    <d v="2021-05-25T00:00:00"/>
    <n v="1202.4000000000001"/>
  </r>
  <r>
    <x v="3"/>
    <x v="1"/>
    <d v="2021-05-25T00:00:00"/>
    <n v="1104.8"/>
  </r>
  <r>
    <x v="1"/>
    <x v="0"/>
    <d v="2021-05-25T00:00:00"/>
    <n v="1066.4000000000001"/>
  </r>
  <r>
    <x v="6"/>
    <x v="2"/>
    <d v="2021-05-25T00:00:00"/>
    <n v="1055.6000000000001"/>
  </r>
  <r>
    <x v="9"/>
    <x v="0"/>
    <d v="2021-05-25T00:00:00"/>
    <n v="1031.6000000000001"/>
  </r>
  <r>
    <x v="23"/>
    <x v="3"/>
    <d v="2021-05-25T00:00:00"/>
    <n v="1030.4000000000001"/>
  </r>
  <r>
    <x v="15"/>
    <x v="0"/>
    <d v="2021-05-25T00:00:00"/>
    <n v="872.80000000000007"/>
  </r>
  <r>
    <x v="8"/>
    <x v="2"/>
    <d v="2021-05-25T00:00:00"/>
    <n v="850.80000000000007"/>
  </r>
  <r>
    <x v="20"/>
    <x v="3"/>
    <d v="2021-05-25T00:00:00"/>
    <n v="850"/>
  </r>
  <r>
    <x v="12"/>
    <x v="3"/>
    <d v="2021-05-25T00:00:00"/>
    <n v="730"/>
  </r>
  <r>
    <x v="5"/>
    <x v="0"/>
    <d v="2021-05-25T00:00:00"/>
    <n v="704.40000000000009"/>
  </r>
  <r>
    <x v="16"/>
    <x v="1"/>
    <d v="2021-05-25T00:00:00"/>
    <n v="677.2"/>
  </r>
  <r>
    <x v="4"/>
    <x v="1"/>
    <d v="2021-05-25T00:00:00"/>
    <n v="675.2"/>
  </r>
  <r>
    <x v="10"/>
    <x v="0"/>
    <d v="2021-05-25T00:00:00"/>
    <n v="636.80000000000007"/>
  </r>
  <r>
    <x v="18"/>
    <x v="4"/>
    <d v="2021-05-25T00:00:00"/>
    <n v="589.20000000000005"/>
  </r>
  <r>
    <x v="17"/>
    <x v="1"/>
    <d v="2021-05-25T00:00:00"/>
    <n v="460.8"/>
  </r>
  <r>
    <x v="21"/>
    <x v="1"/>
    <d v="2021-05-25T00:00:00"/>
    <n v="434.8"/>
  </r>
  <r>
    <x v="13"/>
    <x v="0"/>
    <d v="2021-05-25T00:00:00"/>
    <n v="429.6"/>
  </r>
  <r>
    <x v="7"/>
    <x v="1"/>
    <d v="2021-05-25T00:00:00"/>
    <n v="424"/>
  </r>
  <r>
    <x v="14"/>
    <x v="3"/>
    <d v="2021-05-25T00:00:00"/>
    <n v="401.6"/>
  </r>
  <r>
    <x v="19"/>
    <x v="2"/>
    <d v="2021-05-25T00:00:00"/>
    <n v="193.20000000000002"/>
  </r>
  <r>
    <x v="0"/>
    <x v="0"/>
    <d v="2021-05-25T00:00:00"/>
    <n v="1326.4"/>
  </r>
  <r>
    <x v="2"/>
    <x v="1"/>
    <d v="2021-05-25T00:00:00"/>
    <n v="1312"/>
  </r>
  <r>
    <x v="22"/>
    <x v="4"/>
    <d v="2021-05-25T00:00:00"/>
    <n v="1672.4"/>
  </r>
  <r>
    <x v="2"/>
    <x v="1"/>
    <d v="2021-05-26T00:00:00"/>
    <n v="1608.4"/>
  </r>
  <r>
    <x v="0"/>
    <x v="0"/>
    <d v="2021-05-26T00:00:00"/>
    <n v="1532.8000000000002"/>
  </r>
  <r>
    <x v="3"/>
    <x v="1"/>
    <d v="2021-05-26T00:00:00"/>
    <n v="1251.6000000000001"/>
  </r>
  <r>
    <x v="5"/>
    <x v="0"/>
    <d v="2021-05-26T00:00:00"/>
    <n v="1240.8000000000002"/>
  </r>
  <r>
    <x v="1"/>
    <x v="0"/>
    <d v="2021-05-26T00:00:00"/>
    <n v="1087.2"/>
  </r>
  <r>
    <x v="18"/>
    <x v="4"/>
    <d v="2021-05-26T00:00:00"/>
    <n v="1004.4000000000001"/>
  </r>
  <r>
    <x v="11"/>
    <x v="0"/>
    <d v="2021-05-26T00:00:00"/>
    <n v="1002"/>
  </r>
  <r>
    <x v="6"/>
    <x v="2"/>
    <d v="2021-05-26T00:00:00"/>
    <n v="902.80000000000007"/>
  </r>
  <r>
    <x v="10"/>
    <x v="0"/>
    <d v="2021-05-26T00:00:00"/>
    <n v="890.40000000000009"/>
  </r>
  <r>
    <x v="8"/>
    <x v="2"/>
    <d v="2021-05-26T00:00:00"/>
    <n v="887.6"/>
  </r>
  <r>
    <x v="4"/>
    <x v="1"/>
    <d v="2021-05-26T00:00:00"/>
    <n v="873.2"/>
  </r>
  <r>
    <x v="23"/>
    <x v="3"/>
    <d v="2021-05-26T00:00:00"/>
    <n v="854.80000000000007"/>
  </r>
  <r>
    <x v="9"/>
    <x v="0"/>
    <d v="2021-05-26T00:00:00"/>
    <n v="853.6"/>
  </r>
  <r>
    <x v="15"/>
    <x v="0"/>
    <d v="2021-05-26T00:00:00"/>
    <n v="816.40000000000009"/>
  </r>
  <r>
    <x v="21"/>
    <x v="1"/>
    <d v="2021-05-26T00:00:00"/>
    <n v="644.40000000000009"/>
  </r>
  <r>
    <x v="12"/>
    <x v="3"/>
    <d v="2021-05-26T00:00:00"/>
    <n v="610"/>
  </r>
  <r>
    <x v="13"/>
    <x v="0"/>
    <d v="2021-05-26T00:00:00"/>
    <n v="585.6"/>
  </r>
  <r>
    <x v="20"/>
    <x v="3"/>
    <d v="2021-05-26T00:00:00"/>
    <n v="546.80000000000007"/>
  </r>
  <r>
    <x v="16"/>
    <x v="1"/>
    <d v="2021-05-26T00:00:00"/>
    <n v="517.20000000000005"/>
  </r>
  <r>
    <x v="7"/>
    <x v="1"/>
    <d v="2021-05-26T00:00:00"/>
    <n v="440.8"/>
  </r>
  <r>
    <x v="17"/>
    <x v="1"/>
    <d v="2021-05-26T00:00:00"/>
    <n v="380.8"/>
  </r>
  <r>
    <x v="19"/>
    <x v="2"/>
    <d v="2021-05-26T00:00:00"/>
    <n v="273.60000000000002"/>
  </r>
  <r>
    <x v="14"/>
    <x v="3"/>
    <d v="2021-05-26T00:00:00"/>
    <n v="230.8"/>
  </r>
  <r>
    <x v="15"/>
    <x v="0"/>
    <d v="2021-05-27T00:00:00"/>
    <n v="1540.8000000000002"/>
  </r>
  <r>
    <x v="12"/>
    <x v="3"/>
    <d v="2021-05-27T00:00:00"/>
    <n v="1223.2"/>
  </r>
  <r>
    <x v="8"/>
    <x v="2"/>
    <d v="2021-05-27T00:00:00"/>
    <n v="1197.6000000000001"/>
  </r>
  <r>
    <x v="9"/>
    <x v="0"/>
    <d v="2021-05-27T00:00:00"/>
    <n v="1139.2"/>
  </r>
  <r>
    <x v="18"/>
    <x v="4"/>
    <d v="2021-05-27T00:00:00"/>
    <n v="938.80000000000007"/>
  </r>
  <r>
    <x v="10"/>
    <x v="0"/>
    <d v="2021-05-27T00:00:00"/>
    <n v="853.2"/>
  </r>
  <r>
    <x v="16"/>
    <x v="1"/>
    <d v="2021-05-27T00:00:00"/>
    <n v="840.40000000000009"/>
  </r>
  <r>
    <x v="6"/>
    <x v="2"/>
    <d v="2021-05-27T00:00:00"/>
    <n v="839.6"/>
  </r>
  <r>
    <x v="5"/>
    <x v="0"/>
    <d v="2021-05-27T00:00:00"/>
    <n v="812"/>
  </r>
  <r>
    <x v="7"/>
    <x v="1"/>
    <d v="2021-05-27T00:00:00"/>
    <n v="763.2"/>
  </r>
  <r>
    <x v="23"/>
    <x v="3"/>
    <d v="2021-05-27T00:00:00"/>
    <n v="656"/>
  </r>
  <r>
    <x v="20"/>
    <x v="3"/>
    <d v="2021-05-27T00:00:00"/>
    <n v="548.80000000000007"/>
  </r>
  <r>
    <x v="4"/>
    <x v="1"/>
    <d v="2021-05-27T00:00:00"/>
    <n v="545.6"/>
  </r>
  <r>
    <x v="17"/>
    <x v="1"/>
    <d v="2021-05-27T00:00:00"/>
    <n v="455.6"/>
  </r>
  <r>
    <x v="14"/>
    <x v="3"/>
    <d v="2021-05-27T00:00:00"/>
    <n v="426"/>
  </r>
  <r>
    <x v="21"/>
    <x v="1"/>
    <d v="2021-05-27T00:00:00"/>
    <n v="365.6"/>
  </r>
  <r>
    <x v="13"/>
    <x v="0"/>
    <d v="2021-05-27T00:00:00"/>
    <n v="296.40000000000003"/>
  </r>
  <r>
    <x v="19"/>
    <x v="2"/>
    <d v="2021-05-27T00:00:00"/>
    <n v="121.2"/>
  </r>
  <r>
    <x v="0"/>
    <x v="0"/>
    <d v="2021-05-27T00:00:00"/>
    <n v="2292.8000000000002"/>
  </r>
  <r>
    <x v="22"/>
    <x v="4"/>
    <d v="2021-05-27T00:00:00"/>
    <n v="2001.2"/>
  </r>
  <r>
    <x v="2"/>
    <x v="1"/>
    <d v="2021-05-27T00:00:00"/>
    <n v="1938.4"/>
  </r>
  <r>
    <x v="11"/>
    <x v="0"/>
    <d v="2021-05-27T00:00:00"/>
    <n v="1299.6000000000001"/>
  </r>
  <r>
    <x v="1"/>
    <x v="0"/>
    <d v="2021-05-27T00:00:00"/>
    <n v="1296.4000000000001"/>
  </r>
  <r>
    <x v="3"/>
    <x v="1"/>
    <d v="2021-05-27T00:00:00"/>
    <n v="1292"/>
  </r>
  <r>
    <x v="3"/>
    <x v="1"/>
    <d v="2021-05-28T00:00:00"/>
    <n v="1537.2"/>
  </r>
  <r>
    <x v="1"/>
    <x v="0"/>
    <d v="2021-05-28T00:00:00"/>
    <n v="1435.2"/>
  </r>
  <r>
    <x v="22"/>
    <x v="4"/>
    <d v="2021-05-28T00:00:00"/>
    <n v="1409.2"/>
  </r>
  <r>
    <x v="2"/>
    <x v="1"/>
    <d v="2021-05-28T00:00:00"/>
    <n v="1108"/>
  </r>
  <r>
    <x v="8"/>
    <x v="2"/>
    <d v="2021-05-28T00:00:00"/>
    <n v="1078.4000000000001"/>
  </r>
  <r>
    <x v="6"/>
    <x v="2"/>
    <d v="2021-05-28T00:00:00"/>
    <n v="921.2"/>
  </r>
  <r>
    <x v="0"/>
    <x v="0"/>
    <d v="2021-05-28T00:00:00"/>
    <n v="849.6"/>
  </r>
  <r>
    <x v="23"/>
    <x v="3"/>
    <d v="2021-05-28T00:00:00"/>
    <n v="744.40000000000009"/>
  </r>
  <r>
    <x v="15"/>
    <x v="0"/>
    <d v="2021-05-28T00:00:00"/>
    <n v="598.80000000000007"/>
  </r>
  <r>
    <x v="18"/>
    <x v="4"/>
    <d v="2021-05-28T00:00:00"/>
    <n v="583.20000000000005"/>
  </r>
  <r>
    <x v="4"/>
    <x v="1"/>
    <d v="2021-05-28T00:00:00"/>
    <n v="575.20000000000005"/>
  </r>
  <r>
    <x v="10"/>
    <x v="0"/>
    <d v="2021-05-28T00:00:00"/>
    <n v="564.80000000000007"/>
  </r>
  <r>
    <x v="9"/>
    <x v="0"/>
    <d v="2021-05-28T00:00:00"/>
    <n v="550.4"/>
  </r>
  <r>
    <x v="11"/>
    <x v="0"/>
    <d v="2021-05-28T00:00:00"/>
    <n v="549.20000000000005"/>
  </r>
  <r>
    <x v="20"/>
    <x v="3"/>
    <d v="2021-05-28T00:00:00"/>
    <n v="536"/>
  </r>
  <r>
    <x v="21"/>
    <x v="1"/>
    <d v="2021-05-28T00:00:00"/>
    <n v="456"/>
  </r>
  <r>
    <x v="16"/>
    <x v="1"/>
    <d v="2021-05-28T00:00:00"/>
    <n v="421.6"/>
  </r>
  <r>
    <x v="12"/>
    <x v="3"/>
    <d v="2021-05-28T00:00:00"/>
    <n v="405.6"/>
  </r>
  <r>
    <x v="13"/>
    <x v="0"/>
    <d v="2021-05-28T00:00:00"/>
    <n v="387.6"/>
  </r>
  <r>
    <x v="5"/>
    <x v="0"/>
    <d v="2021-05-28T00:00:00"/>
    <n v="358"/>
  </r>
  <r>
    <x v="7"/>
    <x v="1"/>
    <d v="2021-05-28T00:00:00"/>
    <n v="333.6"/>
  </r>
  <r>
    <x v="14"/>
    <x v="3"/>
    <d v="2021-05-28T00:00:00"/>
    <n v="192"/>
  </r>
  <r>
    <x v="17"/>
    <x v="1"/>
    <d v="2021-05-28T00:00:00"/>
    <n v="178"/>
  </r>
  <r>
    <x v="19"/>
    <x v="2"/>
    <d v="2021-05-28T00:00:00"/>
    <n v="138.4"/>
  </r>
  <r>
    <x v="2"/>
    <x v="1"/>
    <d v="2021-05-29T00:00:00"/>
    <n v="1510.8000000000002"/>
  </r>
  <r>
    <x v="3"/>
    <x v="1"/>
    <d v="2021-05-29T00:00:00"/>
    <n v="1418"/>
  </r>
  <r>
    <x v="22"/>
    <x v="4"/>
    <d v="2021-05-29T00:00:00"/>
    <n v="1404.8000000000002"/>
  </r>
  <r>
    <x v="1"/>
    <x v="0"/>
    <d v="2021-05-29T00:00:00"/>
    <n v="1222.4000000000001"/>
  </r>
  <r>
    <x v="23"/>
    <x v="3"/>
    <d v="2021-05-29T00:00:00"/>
    <n v="1146"/>
  </r>
  <r>
    <x v="0"/>
    <x v="0"/>
    <d v="2021-05-29T00:00:00"/>
    <n v="1044.4000000000001"/>
  </r>
  <r>
    <x v="11"/>
    <x v="0"/>
    <d v="2021-05-29T00:00:00"/>
    <n v="931.2"/>
  </r>
  <r>
    <x v="6"/>
    <x v="2"/>
    <d v="2021-05-29T00:00:00"/>
    <n v="869.6"/>
  </r>
  <r>
    <x v="9"/>
    <x v="0"/>
    <d v="2021-05-29T00:00:00"/>
    <n v="824.40000000000009"/>
  </r>
  <r>
    <x v="8"/>
    <x v="2"/>
    <d v="2021-05-29T00:00:00"/>
    <n v="816"/>
  </r>
  <r>
    <x v="18"/>
    <x v="4"/>
    <d v="2021-05-29T00:00:00"/>
    <n v="646.80000000000007"/>
  </r>
  <r>
    <x v="20"/>
    <x v="3"/>
    <d v="2021-05-29T00:00:00"/>
    <n v="614"/>
  </r>
  <r>
    <x v="12"/>
    <x v="3"/>
    <d v="2021-05-29T00:00:00"/>
    <n v="549.6"/>
  </r>
  <r>
    <x v="15"/>
    <x v="0"/>
    <d v="2021-05-29T00:00:00"/>
    <n v="532.80000000000007"/>
  </r>
  <r>
    <x v="4"/>
    <x v="1"/>
    <d v="2021-05-29T00:00:00"/>
    <n v="530.80000000000007"/>
  </r>
  <r>
    <x v="16"/>
    <x v="1"/>
    <d v="2021-05-29T00:00:00"/>
    <n v="507.20000000000005"/>
  </r>
  <r>
    <x v="5"/>
    <x v="0"/>
    <d v="2021-05-29T00:00:00"/>
    <n v="490.40000000000003"/>
  </r>
  <r>
    <x v="10"/>
    <x v="0"/>
    <d v="2021-05-29T00:00:00"/>
    <n v="482.8"/>
  </r>
  <r>
    <x v="14"/>
    <x v="3"/>
    <d v="2021-05-29T00:00:00"/>
    <n v="455.6"/>
  </r>
  <r>
    <x v="21"/>
    <x v="1"/>
    <d v="2021-05-29T00:00:00"/>
    <n v="400.8"/>
  </r>
  <r>
    <x v="19"/>
    <x v="2"/>
    <d v="2021-05-29T00:00:00"/>
    <n v="327.60000000000002"/>
  </r>
  <r>
    <x v="13"/>
    <x v="0"/>
    <d v="2021-05-29T00:00:00"/>
    <n v="282"/>
  </r>
  <r>
    <x v="7"/>
    <x v="1"/>
    <d v="2021-05-29T00:00:00"/>
    <n v="265.60000000000002"/>
  </r>
  <r>
    <x v="17"/>
    <x v="1"/>
    <d v="2021-05-29T00:00:00"/>
    <n v="172.8"/>
  </r>
  <r>
    <x v="11"/>
    <x v="0"/>
    <d v="2021-05-30T00:00:00"/>
    <n v="1612"/>
  </r>
  <r>
    <x v="2"/>
    <x v="1"/>
    <d v="2021-05-30T00:00:00"/>
    <n v="1261.6000000000001"/>
  </r>
  <r>
    <x v="8"/>
    <x v="2"/>
    <d v="2021-05-30T00:00:00"/>
    <n v="1146.8"/>
  </r>
  <r>
    <x v="10"/>
    <x v="0"/>
    <d v="2021-05-30T00:00:00"/>
    <n v="1069.6000000000001"/>
  </r>
  <r>
    <x v="1"/>
    <x v="0"/>
    <d v="2021-05-30T00:00:00"/>
    <n v="1026.8"/>
  </r>
  <r>
    <x v="6"/>
    <x v="2"/>
    <d v="2021-05-30T00:00:00"/>
    <n v="999.2"/>
  </r>
  <r>
    <x v="5"/>
    <x v="0"/>
    <d v="2021-05-30T00:00:00"/>
    <n v="934.40000000000009"/>
  </r>
  <r>
    <x v="15"/>
    <x v="0"/>
    <d v="2021-05-30T00:00:00"/>
    <n v="890.40000000000009"/>
  </r>
  <r>
    <x v="12"/>
    <x v="3"/>
    <d v="2021-05-30T00:00:00"/>
    <n v="876.80000000000007"/>
  </r>
  <r>
    <x v="3"/>
    <x v="1"/>
    <d v="2021-05-30T00:00:00"/>
    <n v="839.2"/>
  </r>
  <r>
    <x v="16"/>
    <x v="1"/>
    <d v="2021-05-30T00:00:00"/>
    <n v="830"/>
  </r>
  <r>
    <x v="23"/>
    <x v="3"/>
    <d v="2021-05-30T00:00:00"/>
    <n v="756.40000000000009"/>
  </r>
  <r>
    <x v="18"/>
    <x v="4"/>
    <d v="2021-05-30T00:00:00"/>
    <n v="612.80000000000007"/>
  </r>
  <r>
    <x v="21"/>
    <x v="1"/>
    <d v="2021-05-30T00:00:00"/>
    <n v="582.80000000000007"/>
  </r>
  <r>
    <x v="20"/>
    <x v="3"/>
    <d v="2021-05-30T00:00:00"/>
    <n v="463.6"/>
  </r>
  <r>
    <x v="4"/>
    <x v="1"/>
    <d v="2021-05-30T00:00:00"/>
    <n v="444.8"/>
  </r>
  <r>
    <x v="7"/>
    <x v="1"/>
    <d v="2021-05-30T00:00:00"/>
    <n v="444.40000000000003"/>
  </r>
  <r>
    <x v="14"/>
    <x v="3"/>
    <d v="2021-05-30T00:00:00"/>
    <n v="421.6"/>
  </r>
  <r>
    <x v="17"/>
    <x v="1"/>
    <d v="2021-05-30T00:00:00"/>
    <n v="328.8"/>
  </r>
  <r>
    <x v="13"/>
    <x v="0"/>
    <d v="2021-05-30T00:00:00"/>
    <n v="293.2"/>
  </r>
  <r>
    <x v="19"/>
    <x v="2"/>
    <d v="2021-05-30T00:00:00"/>
    <n v="146.4"/>
  </r>
  <r>
    <x v="0"/>
    <x v="0"/>
    <d v="2021-05-30T00:00:00"/>
    <n v="2188.8000000000002"/>
  </r>
  <r>
    <x v="22"/>
    <x v="4"/>
    <d v="2021-05-30T00:00:00"/>
    <n v="2039.6000000000001"/>
  </r>
  <r>
    <x v="9"/>
    <x v="0"/>
    <d v="2021-05-30T00:00:00"/>
    <n v="1276"/>
  </r>
  <r>
    <x v="3"/>
    <x v="1"/>
    <d v="2021-05-31T00:00:00"/>
    <n v="1194.8"/>
  </r>
  <r>
    <x v="1"/>
    <x v="0"/>
    <d v="2021-05-31T00:00:00"/>
    <n v="1148.4000000000001"/>
  </r>
  <r>
    <x v="18"/>
    <x v="4"/>
    <d v="2021-05-31T00:00:00"/>
    <n v="1146.8"/>
  </r>
  <r>
    <x v="11"/>
    <x v="0"/>
    <d v="2021-05-31T00:00:00"/>
    <n v="1134.4000000000001"/>
  </r>
  <r>
    <x v="8"/>
    <x v="2"/>
    <d v="2021-05-31T00:00:00"/>
    <n v="1104"/>
  </r>
  <r>
    <x v="6"/>
    <x v="2"/>
    <d v="2021-05-31T00:00:00"/>
    <n v="1063.6000000000001"/>
  </r>
  <r>
    <x v="10"/>
    <x v="0"/>
    <d v="2021-05-31T00:00:00"/>
    <n v="984.40000000000009"/>
  </r>
  <r>
    <x v="5"/>
    <x v="0"/>
    <d v="2021-05-31T00:00:00"/>
    <n v="947.2"/>
  </r>
  <r>
    <x v="23"/>
    <x v="3"/>
    <d v="2021-05-31T00:00:00"/>
    <n v="724.40000000000009"/>
  </r>
  <r>
    <x v="16"/>
    <x v="1"/>
    <d v="2021-05-31T00:00:00"/>
    <n v="609.6"/>
  </r>
  <r>
    <x v="14"/>
    <x v="3"/>
    <d v="2021-05-31T00:00:00"/>
    <n v="544.4"/>
  </r>
  <r>
    <x v="7"/>
    <x v="1"/>
    <d v="2021-05-31T00:00:00"/>
    <n v="538"/>
  </r>
  <r>
    <x v="20"/>
    <x v="3"/>
    <d v="2021-05-31T00:00:00"/>
    <n v="510.8"/>
  </r>
  <r>
    <x v="9"/>
    <x v="0"/>
    <d v="2021-05-31T00:00:00"/>
    <n v="508.40000000000003"/>
  </r>
  <r>
    <x v="21"/>
    <x v="1"/>
    <d v="2021-05-31T00:00:00"/>
    <n v="502"/>
  </r>
  <r>
    <x v="19"/>
    <x v="2"/>
    <d v="2021-05-31T00:00:00"/>
    <n v="459.6"/>
  </r>
  <r>
    <x v="12"/>
    <x v="3"/>
    <d v="2021-05-31T00:00:00"/>
    <n v="457.6"/>
  </r>
  <r>
    <x v="13"/>
    <x v="0"/>
    <d v="2021-05-31T00:00:00"/>
    <n v="392"/>
  </r>
  <r>
    <x v="17"/>
    <x v="1"/>
    <d v="2021-05-31T00:00:00"/>
    <n v="377.20000000000005"/>
  </r>
  <r>
    <x v="4"/>
    <x v="1"/>
    <d v="2021-05-31T00:00:00"/>
    <n v="359.6"/>
  </r>
  <r>
    <x v="0"/>
    <x v="0"/>
    <d v="2021-05-31T00:00:00"/>
    <n v="1997.6000000000001"/>
  </r>
  <r>
    <x v="22"/>
    <x v="4"/>
    <d v="2021-05-31T00:00:00"/>
    <n v="1896.8000000000002"/>
  </r>
  <r>
    <x v="2"/>
    <x v="1"/>
    <d v="2021-05-31T00:00:00"/>
    <n v="1302"/>
  </r>
  <r>
    <x v="15"/>
    <x v="0"/>
    <d v="2021-05-31T00:00:00"/>
    <n v="1291.6000000000001"/>
  </r>
  <r>
    <x v="11"/>
    <x v="0"/>
    <d v="2021-06-01T00:00:00"/>
    <n v="1472.4"/>
  </r>
  <r>
    <x v="0"/>
    <x v="0"/>
    <d v="2021-06-01T00:00:00"/>
    <n v="1441.6000000000001"/>
  </r>
  <r>
    <x v="3"/>
    <x v="1"/>
    <d v="2021-06-01T00:00:00"/>
    <n v="1141.6000000000001"/>
  </r>
  <r>
    <x v="18"/>
    <x v="4"/>
    <d v="2021-06-01T00:00:00"/>
    <n v="1122.8"/>
  </r>
  <r>
    <x v="9"/>
    <x v="0"/>
    <d v="2021-06-01T00:00:00"/>
    <n v="1113.2"/>
  </r>
  <r>
    <x v="16"/>
    <x v="1"/>
    <d v="2021-06-01T00:00:00"/>
    <n v="1108"/>
  </r>
  <r>
    <x v="15"/>
    <x v="0"/>
    <d v="2021-06-01T00:00:00"/>
    <n v="1077.2"/>
  </r>
  <r>
    <x v="1"/>
    <x v="0"/>
    <d v="2021-06-01T00:00:00"/>
    <n v="1020.8000000000001"/>
  </r>
  <r>
    <x v="6"/>
    <x v="2"/>
    <d v="2021-06-01T00:00:00"/>
    <n v="988.80000000000007"/>
  </r>
  <r>
    <x v="2"/>
    <x v="1"/>
    <d v="2021-06-01T00:00:00"/>
    <n v="921.2"/>
  </r>
  <r>
    <x v="23"/>
    <x v="3"/>
    <d v="2021-06-01T00:00:00"/>
    <n v="904.40000000000009"/>
  </r>
  <r>
    <x v="5"/>
    <x v="0"/>
    <d v="2021-06-01T00:00:00"/>
    <n v="880.40000000000009"/>
  </r>
  <r>
    <x v="10"/>
    <x v="0"/>
    <d v="2021-06-01T00:00:00"/>
    <n v="837.6"/>
  </r>
  <r>
    <x v="21"/>
    <x v="1"/>
    <d v="2021-06-01T00:00:00"/>
    <n v="702.80000000000007"/>
  </r>
  <r>
    <x v="8"/>
    <x v="2"/>
    <d v="2021-06-01T00:00:00"/>
    <n v="664.40000000000009"/>
  </r>
  <r>
    <x v="7"/>
    <x v="1"/>
    <d v="2021-06-01T00:00:00"/>
    <n v="660.40000000000009"/>
  </r>
  <r>
    <x v="14"/>
    <x v="3"/>
    <d v="2021-06-01T00:00:00"/>
    <n v="532"/>
  </r>
  <r>
    <x v="17"/>
    <x v="1"/>
    <d v="2021-06-01T00:00:00"/>
    <n v="519.6"/>
  </r>
  <r>
    <x v="19"/>
    <x v="2"/>
    <d v="2021-06-01T00:00:00"/>
    <n v="454.40000000000003"/>
  </r>
  <r>
    <x v="12"/>
    <x v="3"/>
    <d v="2021-06-01T00:00:00"/>
    <n v="447.20000000000005"/>
  </r>
  <r>
    <x v="4"/>
    <x v="1"/>
    <d v="2021-06-01T00:00:00"/>
    <n v="436.40000000000003"/>
  </r>
  <r>
    <x v="13"/>
    <x v="0"/>
    <d v="2021-06-01T00:00:00"/>
    <n v="414"/>
  </r>
  <r>
    <x v="20"/>
    <x v="3"/>
    <d v="2021-06-01T00:00:00"/>
    <n v="399.6"/>
  </r>
  <r>
    <x v="22"/>
    <x v="4"/>
    <d v="2021-06-01T00:00:00"/>
    <n v="1788"/>
  </r>
  <r>
    <x v="1"/>
    <x v="0"/>
    <d v="2021-06-02T00:00:00"/>
    <n v="1603.6000000000001"/>
  </r>
  <r>
    <x v="22"/>
    <x v="4"/>
    <d v="2021-06-02T00:00:00"/>
    <n v="1547.6000000000001"/>
  </r>
  <r>
    <x v="10"/>
    <x v="0"/>
    <d v="2021-06-02T00:00:00"/>
    <n v="1426.4"/>
  </r>
  <r>
    <x v="11"/>
    <x v="0"/>
    <d v="2021-06-02T00:00:00"/>
    <n v="1372.4"/>
  </r>
  <r>
    <x v="9"/>
    <x v="0"/>
    <d v="2021-06-02T00:00:00"/>
    <n v="1252.4000000000001"/>
  </r>
  <r>
    <x v="2"/>
    <x v="1"/>
    <d v="2021-06-02T00:00:00"/>
    <n v="1110.4000000000001"/>
  </r>
  <r>
    <x v="3"/>
    <x v="1"/>
    <d v="2021-06-02T00:00:00"/>
    <n v="1062"/>
  </r>
  <r>
    <x v="5"/>
    <x v="0"/>
    <d v="2021-06-02T00:00:00"/>
    <n v="880.40000000000009"/>
  </r>
  <r>
    <x v="8"/>
    <x v="2"/>
    <d v="2021-06-02T00:00:00"/>
    <n v="835.6"/>
  </r>
  <r>
    <x v="21"/>
    <x v="1"/>
    <d v="2021-06-02T00:00:00"/>
    <n v="821.2"/>
  </r>
  <r>
    <x v="6"/>
    <x v="2"/>
    <d v="2021-06-02T00:00:00"/>
    <n v="801.6"/>
  </r>
  <r>
    <x v="4"/>
    <x v="1"/>
    <d v="2021-06-02T00:00:00"/>
    <n v="739.2"/>
  </r>
  <r>
    <x v="15"/>
    <x v="0"/>
    <d v="2021-06-02T00:00:00"/>
    <n v="697.6"/>
  </r>
  <r>
    <x v="16"/>
    <x v="1"/>
    <d v="2021-06-02T00:00:00"/>
    <n v="664.40000000000009"/>
  </r>
  <r>
    <x v="20"/>
    <x v="3"/>
    <d v="2021-06-02T00:00:00"/>
    <n v="653.20000000000005"/>
  </r>
  <r>
    <x v="18"/>
    <x v="4"/>
    <d v="2021-06-02T00:00:00"/>
    <n v="634.80000000000007"/>
  </r>
  <r>
    <x v="7"/>
    <x v="1"/>
    <d v="2021-06-02T00:00:00"/>
    <n v="522.4"/>
  </r>
  <r>
    <x v="12"/>
    <x v="3"/>
    <d v="2021-06-02T00:00:00"/>
    <n v="497.6"/>
  </r>
  <r>
    <x v="23"/>
    <x v="3"/>
    <d v="2021-06-02T00:00:00"/>
    <n v="450.40000000000003"/>
  </r>
  <r>
    <x v="14"/>
    <x v="3"/>
    <d v="2021-06-02T00:00:00"/>
    <n v="395.6"/>
  </r>
  <r>
    <x v="13"/>
    <x v="0"/>
    <d v="2021-06-02T00:00:00"/>
    <n v="352.40000000000003"/>
  </r>
  <r>
    <x v="19"/>
    <x v="2"/>
    <d v="2021-06-02T00:00:00"/>
    <n v="267.60000000000002"/>
  </r>
  <r>
    <x v="17"/>
    <x v="1"/>
    <d v="2021-06-02T00:00:00"/>
    <n v="59.6"/>
  </r>
  <r>
    <x v="0"/>
    <x v="0"/>
    <d v="2021-06-02T00:00:00"/>
    <n v="1778.8000000000002"/>
  </r>
  <r>
    <x v="6"/>
    <x v="2"/>
    <d v="2021-06-03T00:00:00"/>
    <n v="1537.6000000000001"/>
  </r>
  <r>
    <x v="11"/>
    <x v="0"/>
    <d v="2021-06-03T00:00:00"/>
    <n v="1428"/>
  </r>
  <r>
    <x v="22"/>
    <x v="4"/>
    <d v="2021-06-03T00:00:00"/>
    <n v="1361.2"/>
  </r>
  <r>
    <x v="1"/>
    <x v="0"/>
    <d v="2021-06-03T00:00:00"/>
    <n v="1224"/>
  </r>
  <r>
    <x v="8"/>
    <x v="2"/>
    <d v="2021-06-03T00:00:00"/>
    <n v="1173.6000000000001"/>
  </r>
  <r>
    <x v="3"/>
    <x v="1"/>
    <d v="2021-06-03T00:00:00"/>
    <n v="1082"/>
  </r>
  <r>
    <x v="5"/>
    <x v="0"/>
    <d v="2021-06-03T00:00:00"/>
    <n v="952"/>
  </r>
  <r>
    <x v="16"/>
    <x v="1"/>
    <d v="2021-06-03T00:00:00"/>
    <n v="936.80000000000007"/>
  </r>
  <r>
    <x v="18"/>
    <x v="4"/>
    <d v="2021-06-03T00:00:00"/>
    <n v="906"/>
  </r>
  <r>
    <x v="10"/>
    <x v="0"/>
    <d v="2021-06-03T00:00:00"/>
    <n v="842"/>
  </r>
  <r>
    <x v="15"/>
    <x v="0"/>
    <d v="2021-06-03T00:00:00"/>
    <n v="728.80000000000007"/>
  </r>
  <r>
    <x v="7"/>
    <x v="1"/>
    <d v="2021-06-03T00:00:00"/>
    <n v="720.40000000000009"/>
  </r>
  <r>
    <x v="23"/>
    <x v="3"/>
    <d v="2021-06-03T00:00:00"/>
    <n v="672.40000000000009"/>
  </r>
  <r>
    <x v="12"/>
    <x v="3"/>
    <d v="2021-06-03T00:00:00"/>
    <n v="564.4"/>
  </r>
  <r>
    <x v="21"/>
    <x v="1"/>
    <d v="2021-06-03T00:00:00"/>
    <n v="490.40000000000003"/>
  </r>
  <r>
    <x v="4"/>
    <x v="1"/>
    <d v="2021-06-03T00:00:00"/>
    <n v="444.40000000000003"/>
  </r>
  <r>
    <x v="20"/>
    <x v="3"/>
    <d v="2021-06-03T00:00:00"/>
    <n v="443.20000000000005"/>
  </r>
  <r>
    <x v="17"/>
    <x v="1"/>
    <d v="2021-06-03T00:00:00"/>
    <n v="436.8"/>
  </r>
  <r>
    <x v="19"/>
    <x v="2"/>
    <d v="2021-06-03T00:00:00"/>
    <n v="358.40000000000003"/>
  </r>
  <r>
    <x v="13"/>
    <x v="0"/>
    <d v="2021-06-03T00:00:00"/>
    <n v="321.20000000000005"/>
  </r>
  <r>
    <x v="14"/>
    <x v="3"/>
    <d v="2021-06-03T00:00:00"/>
    <n v="217.20000000000002"/>
  </r>
  <r>
    <x v="0"/>
    <x v="0"/>
    <d v="2021-06-03T00:00:00"/>
    <n v="1988"/>
  </r>
  <r>
    <x v="2"/>
    <x v="1"/>
    <d v="2021-06-03T00:00:00"/>
    <n v="1900"/>
  </r>
  <r>
    <x v="9"/>
    <x v="0"/>
    <d v="2021-06-03T00:00:00"/>
    <n v="1661.6000000000001"/>
  </r>
  <r>
    <x v="1"/>
    <x v="0"/>
    <d v="2021-06-04T00:00:00"/>
    <n v="1167.2"/>
  </r>
  <r>
    <x v="2"/>
    <x v="1"/>
    <d v="2021-06-04T00:00:00"/>
    <n v="1061.6000000000001"/>
  </r>
  <r>
    <x v="22"/>
    <x v="4"/>
    <d v="2021-06-04T00:00:00"/>
    <n v="1001.2"/>
  </r>
  <r>
    <x v="20"/>
    <x v="3"/>
    <d v="2021-06-04T00:00:00"/>
    <n v="962.80000000000007"/>
  </r>
  <r>
    <x v="11"/>
    <x v="0"/>
    <d v="2021-06-04T00:00:00"/>
    <n v="943.6"/>
  </r>
  <r>
    <x v="12"/>
    <x v="3"/>
    <d v="2021-06-04T00:00:00"/>
    <n v="856"/>
  </r>
  <r>
    <x v="0"/>
    <x v="0"/>
    <d v="2021-06-04T00:00:00"/>
    <n v="847.2"/>
  </r>
  <r>
    <x v="6"/>
    <x v="2"/>
    <d v="2021-06-04T00:00:00"/>
    <n v="844.40000000000009"/>
  </r>
  <r>
    <x v="9"/>
    <x v="0"/>
    <d v="2021-06-04T00:00:00"/>
    <n v="816.40000000000009"/>
  </r>
  <r>
    <x v="8"/>
    <x v="2"/>
    <d v="2021-06-04T00:00:00"/>
    <n v="708"/>
  </r>
  <r>
    <x v="15"/>
    <x v="0"/>
    <d v="2021-06-04T00:00:00"/>
    <n v="601.6"/>
  </r>
  <r>
    <x v="18"/>
    <x v="4"/>
    <d v="2021-06-04T00:00:00"/>
    <n v="504.8"/>
  </r>
  <r>
    <x v="14"/>
    <x v="3"/>
    <d v="2021-06-04T00:00:00"/>
    <n v="501.6"/>
  </r>
  <r>
    <x v="10"/>
    <x v="0"/>
    <d v="2021-06-04T00:00:00"/>
    <n v="468.8"/>
  </r>
  <r>
    <x v="4"/>
    <x v="1"/>
    <d v="2021-06-04T00:00:00"/>
    <n v="434.8"/>
  </r>
  <r>
    <x v="16"/>
    <x v="1"/>
    <d v="2021-06-04T00:00:00"/>
    <n v="433.6"/>
  </r>
  <r>
    <x v="21"/>
    <x v="1"/>
    <d v="2021-06-04T00:00:00"/>
    <n v="349.6"/>
  </r>
  <r>
    <x v="23"/>
    <x v="3"/>
    <d v="2021-06-04T00:00:00"/>
    <n v="346"/>
  </r>
  <r>
    <x v="7"/>
    <x v="1"/>
    <d v="2021-06-04T00:00:00"/>
    <n v="236.8"/>
  </r>
  <r>
    <x v="13"/>
    <x v="0"/>
    <d v="2021-06-04T00:00:00"/>
    <n v="236.8"/>
  </r>
  <r>
    <x v="19"/>
    <x v="2"/>
    <d v="2021-06-04T00:00:00"/>
    <n v="233.60000000000002"/>
  </r>
  <r>
    <x v="5"/>
    <x v="0"/>
    <d v="2021-06-04T00:00:00"/>
    <n v="228.4"/>
  </r>
  <r>
    <x v="17"/>
    <x v="1"/>
    <d v="2021-06-04T00:00:00"/>
    <n v="193.60000000000002"/>
  </r>
  <r>
    <x v="3"/>
    <x v="1"/>
    <d v="2021-06-04T00:00:00"/>
    <n v="1658.4"/>
  </r>
  <r>
    <x v="3"/>
    <x v="1"/>
    <d v="2021-06-05T00:00:00"/>
    <n v="1530"/>
  </r>
  <r>
    <x v="8"/>
    <x v="2"/>
    <d v="2021-06-05T00:00:00"/>
    <n v="1364.4"/>
  </r>
  <r>
    <x v="6"/>
    <x v="2"/>
    <d v="2021-06-05T00:00:00"/>
    <n v="1105.6000000000001"/>
  </r>
  <r>
    <x v="22"/>
    <x v="4"/>
    <d v="2021-06-05T00:00:00"/>
    <n v="1064.4000000000001"/>
  </r>
  <r>
    <x v="2"/>
    <x v="1"/>
    <d v="2021-06-05T00:00:00"/>
    <n v="945.2"/>
  </r>
  <r>
    <x v="1"/>
    <x v="0"/>
    <d v="2021-06-05T00:00:00"/>
    <n v="802.80000000000007"/>
  </r>
  <r>
    <x v="11"/>
    <x v="0"/>
    <d v="2021-06-05T00:00:00"/>
    <n v="724.40000000000009"/>
  </r>
  <r>
    <x v="9"/>
    <x v="0"/>
    <d v="2021-06-05T00:00:00"/>
    <n v="675.6"/>
  </r>
  <r>
    <x v="20"/>
    <x v="3"/>
    <d v="2021-06-05T00:00:00"/>
    <n v="636"/>
  </r>
  <r>
    <x v="0"/>
    <x v="0"/>
    <d v="2021-06-05T00:00:00"/>
    <n v="635.20000000000005"/>
  </r>
  <r>
    <x v="12"/>
    <x v="3"/>
    <d v="2021-06-05T00:00:00"/>
    <n v="618"/>
  </r>
  <r>
    <x v="15"/>
    <x v="0"/>
    <d v="2021-06-05T00:00:00"/>
    <n v="594.80000000000007"/>
  </r>
  <r>
    <x v="18"/>
    <x v="4"/>
    <d v="2021-06-05T00:00:00"/>
    <n v="548.80000000000007"/>
  </r>
  <r>
    <x v="5"/>
    <x v="0"/>
    <d v="2021-06-05T00:00:00"/>
    <n v="507.20000000000005"/>
  </r>
  <r>
    <x v="19"/>
    <x v="2"/>
    <d v="2021-06-05T00:00:00"/>
    <n v="433.6"/>
  </r>
  <r>
    <x v="10"/>
    <x v="0"/>
    <d v="2021-06-05T00:00:00"/>
    <n v="418.40000000000003"/>
  </r>
  <r>
    <x v="7"/>
    <x v="1"/>
    <d v="2021-06-05T00:00:00"/>
    <n v="401.20000000000005"/>
  </r>
  <r>
    <x v="16"/>
    <x v="1"/>
    <d v="2021-06-05T00:00:00"/>
    <n v="395.6"/>
  </r>
  <r>
    <x v="4"/>
    <x v="1"/>
    <d v="2021-06-05T00:00:00"/>
    <n v="368.40000000000003"/>
  </r>
  <r>
    <x v="17"/>
    <x v="1"/>
    <d v="2021-06-05T00:00:00"/>
    <n v="266"/>
  </r>
  <r>
    <x v="13"/>
    <x v="0"/>
    <d v="2021-06-05T00:00:00"/>
    <n v="205.20000000000002"/>
  </r>
  <r>
    <x v="14"/>
    <x v="3"/>
    <d v="2021-06-05T00:00:00"/>
    <n v="194.8"/>
  </r>
  <r>
    <x v="22"/>
    <x v="4"/>
    <d v="2021-06-06T00:00:00"/>
    <n v="1504.4"/>
  </r>
  <r>
    <x v="0"/>
    <x v="0"/>
    <d v="2021-06-06T00:00:00"/>
    <n v="1448.4"/>
  </r>
  <r>
    <x v="3"/>
    <x v="1"/>
    <d v="2021-06-06T00:00:00"/>
    <n v="1429.2"/>
  </r>
  <r>
    <x v="1"/>
    <x v="0"/>
    <d v="2021-06-06T00:00:00"/>
    <n v="1186"/>
  </r>
  <r>
    <x v="18"/>
    <x v="4"/>
    <d v="2021-06-06T00:00:00"/>
    <n v="1169.2"/>
  </r>
  <r>
    <x v="2"/>
    <x v="1"/>
    <d v="2021-06-06T00:00:00"/>
    <n v="1135.6000000000001"/>
  </r>
  <r>
    <x v="11"/>
    <x v="0"/>
    <d v="2021-06-06T00:00:00"/>
    <n v="1114"/>
  </r>
  <r>
    <x v="9"/>
    <x v="0"/>
    <d v="2021-06-06T00:00:00"/>
    <n v="1086"/>
  </r>
  <r>
    <x v="8"/>
    <x v="2"/>
    <d v="2021-06-06T00:00:00"/>
    <n v="967.6"/>
  </r>
  <r>
    <x v="10"/>
    <x v="0"/>
    <d v="2021-06-06T00:00:00"/>
    <n v="916"/>
  </r>
  <r>
    <x v="6"/>
    <x v="2"/>
    <d v="2021-06-06T00:00:00"/>
    <n v="878"/>
  </r>
  <r>
    <x v="12"/>
    <x v="3"/>
    <d v="2021-06-06T00:00:00"/>
    <n v="732.80000000000007"/>
  </r>
  <r>
    <x v="23"/>
    <x v="3"/>
    <d v="2021-06-06T00:00:00"/>
    <n v="663.6"/>
  </r>
  <r>
    <x v="16"/>
    <x v="1"/>
    <d v="2021-06-06T00:00:00"/>
    <n v="645.20000000000005"/>
  </r>
  <r>
    <x v="5"/>
    <x v="0"/>
    <d v="2021-06-06T00:00:00"/>
    <n v="620.80000000000007"/>
  </r>
  <r>
    <x v="13"/>
    <x v="0"/>
    <d v="2021-06-06T00:00:00"/>
    <n v="590.4"/>
  </r>
  <r>
    <x v="7"/>
    <x v="1"/>
    <d v="2021-06-06T00:00:00"/>
    <n v="564.80000000000007"/>
  </r>
  <r>
    <x v="15"/>
    <x v="0"/>
    <d v="2021-06-06T00:00:00"/>
    <n v="529.20000000000005"/>
  </r>
  <r>
    <x v="20"/>
    <x v="3"/>
    <d v="2021-06-06T00:00:00"/>
    <n v="402.40000000000003"/>
  </r>
  <r>
    <x v="4"/>
    <x v="1"/>
    <d v="2021-06-06T00:00:00"/>
    <n v="365.6"/>
  </r>
  <r>
    <x v="17"/>
    <x v="1"/>
    <d v="2021-06-06T00:00:00"/>
    <n v="302.8"/>
  </r>
  <r>
    <x v="19"/>
    <x v="2"/>
    <d v="2021-06-06T00:00:00"/>
    <n v="225.20000000000002"/>
  </r>
  <r>
    <x v="21"/>
    <x v="1"/>
    <d v="2021-06-06T00:00:00"/>
    <n v="216"/>
  </r>
  <r>
    <x v="14"/>
    <x v="3"/>
    <d v="2021-06-06T00:00:00"/>
    <n v="114.80000000000001"/>
  </r>
  <r>
    <x v="3"/>
    <x v="1"/>
    <d v="2021-06-07T00:00:00"/>
    <n v="1232.4000000000001"/>
  </r>
  <r>
    <x v="18"/>
    <x v="4"/>
    <d v="2021-06-07T00:00:00"/>
    <n v="1112.4000000000001"/>
  </r>
  <r>
    <x v="10"/>
    <x v="0"/>
    <d v="2021-06-07T00:00:00"/>
    <n v="1100.4000000000001"/>
  </r>
  <r>
    <x v="11"/>
    <x v="0"/>
    <d v="2021-06-07T00:00:00"/>
    <n v="1007.6"/>
  </r>
  <r>
    <x v="15"/>
    <x v="0"/>
    <d v="2021-06-07T00:00:00"/>
    <n v="1004"/>
  </r>
  <r>
    <x v="23"/>
    <x v="3"/>
    <d v="2021-06-07T00:00:00"/>
    <n v="944.40000000000009"/>
  </r>
  <r>
    <x v="1"/>
    <x v="0"/>
    <d v="2021-06-07T00:00:00"/>
    <n v="940.40000000000009"/>
  </r>
  <r>
    <x v="8"/>
    <x v="2"/>
    <d v="2021-06-07T00:00:00"/>
    <n v="931.2"/>
  </r>
  <r>
    <x v="6"/>
    <x v="2"/>
    <d v="2021-06-07T00:00:00"/>
    <n v="890.80000000000007"/>
  </r>
  <r>
    <x v="0"/>
    <x v="0"/>
    <d v="2021-06-07T00:00:00"/>
    <n v="885.2"/>
  </r>
  <r>
    <x v="4"/>
    <x v="1"/>
    <d v="2021-06-07T00:00:00"/>
    <n v="816"/>
  </r>
  <r>
    <x v="16"/>
    <x v="1"/>
    <d v="2021-06-07T00:00:00"/>
    <n v="792.40000000000009"/>
  </r>
  <r>
    <x v="5"/>
    <x v="0"/>
    <d v="2021-06-07T00:00:00"/>
    <n v="720"/>
  </r>
  <r>
    <x v="12"/>
    <x v="3"/>
    <d v="2021-06-07T00:00:00"/>
    <n v="657.6"/>
  </r>
  <r>
    <x v="20"/>
    <x v="3"/>
    <d v="2021-06-07T00:00:00"/>
    <n v="570.4"/>
  </r>
  <r>
    <x v="7"/>
    <x v="1"/>
    <d v="2021-06-07T00:00:00"/>
    <n v="548.80000000000007"/>
  </r>
  <r>
    <x v="14"/>
    <x v="3"/>
    <d v="2021-06-07T00:00:00"/>
    <n v="429.20000000000005"/>
  </r>
  <r>
    <x v="21"/>
    <x v="1"/>
    <d v="2021-06-07T00:00:00"/>
    <n v="420.8"/>
  </r>
  <r>
    <x v="13"/>
    <x v="0"/>
    <d v="2021-06-07T00:00:00"/>
    <n v="325.60000000000002"/>
  </r>
  <r>
    <x v="17"/>
    <x v="1"/>
    <d v="2021-06-07T00:00:00"/>
    <n v="218"/>
  </r>
  <r>
    <x v="19"/>
    <x v="2"/>
    <d v="2021-06-07T00:00:00"/>
    <n v="217.60000000000002"/>
  </r>
  <r>
    <x v="2"/>
    <x v="1"/>
    <d v="2021-06-07T00:00:00"/>
    <n v="1301.6000000000001"/>
  </r>
  <r>
    <x v="9"/>
    <x v="0"/>
    <d v="2021-06-07T00:00:00"/>
    <n v="1277.6000000000001"/>
  </r>
  <r>
    <x v="22"/>
    <x v="4"/>
    <d v="2021-06-07T00:00:00"/>
    <n v="1715.6000000000001"/>
  </r>
  <r>
    <x v="9"/>
    <x v="0"/>
    <d v="2021-06-08T00:00:00"/>
    <n v="1548.4"/>
  </r>
  <r>
    <x v="3"/>
    <x v="1"/>
    <d v="2021-06-08T00:00:00"/>
    <n v="1481.2"/>
  </r>
  <r>
    <x v="11"/>
    <x v="0"/>
    <d v="2021-06-08T00:00:00"/>
    <n v="1406.4"/>
  </r>
  <r>
    <x v="2"/>
    <x v="1"/>
    <d v="2021-06-08T00:00:00"/>
    <n v="1215.6000000000001"/>
  </r>
  <r>
    <x v="23"/>
    <x v="3"/>
    <d v="2021-06-08T00:00:00"/>
    <n v="1135.2"/>
  </r>
  <r>
    <x v="10"/>
    <x v="0"/>
    <d v="2021-06-08T00:00:00"/>
    <n v="1074"/>
  </r>
  <r>
    <x v="20"/>
    <x v="3"/>
    <d v="2021-06-08T00:00:00"/>
    <n v="999.6"/>
  </r>
  <r>
    <x v="15"/>
    <x v="0"/>
    <d v="2021-06-08T00:00:00"/>
    <n v="938.40000000000009"/>
  </r>
  <r>
    <x v="5"/>
    <x v="0"/>
    <d v="2021-06-08T00:00:00"/>
    <n v="897.2"/>
  </r>
  <r>
    <x v="1"/>
    <x v="0"/>
    <d v="2021-06-08T00:00:00"/>
    <n v="895.6"/>
  </r>
  <r>
    <x v="18"/>
    <x v="4"/>
    <d v="2021-06-08T00:00:00"/>
    <n v="868"/>
  </r>
  <r>
    <x v="12"/>
    <x v="3"/>
    <d v="2021-06-08T00:00:00"/>
    <n v="859.6"/>
  </r>
  <r>
    <x v="8"/>
    <x v="2"/>
    <d v="2021-06-08T00:00:00"/>
    <n v="836.80000000000007"/>
  </r>
  <r>
    <x v="4"/>
    <x v="1"/>
    <d v="2021-06-08T00:00:00"/>
    <n v="792.40000000000009"/>
  </r>
  <r>
    <x v="16"/>
    <x v="1"/>
    <d v="2021-06-08T00:00:00"/>
    <n v="715.2"/>
  </r>
  <r>
    <x v="7"/>
    <x v="1"/>
    <d v="2021-06-08T00:00:00"/>
    <n v="667.6"/>
  </r>
  <r>
    <x v="14"/>
    <x v="3"/>
    <d v="2021-06-08T00:00:00"/>
    <n v="651.20000000000005"/>
  </r>
  <r>
    <x v="19"/>
    <x v="2"/>
    <d v="2021-06-08T00:00:00"/>
    <n v="467.6"/>
  </r>
  <r>
    <x v="17"/>
    <x v="1"/>
    <d v="2021-06-08T00:00:00"/>
    <n v="457.20000000000005"/>
  </r>
  <r>
    <x v="13"/>
    <x v="0"/>
    <d v="2021-06-08T00:00:00"/>
    <n v="449.6"/>
  </r>
  <r>
    <x v="21"/>
    <x v="1"/>
    <d v="2021-06-08T00:00:00"/>
    <n v="269.2"/>
  </r>
  <r>
    <x v="22"/>
    <x v="4"/>
    <d v="2021-06-08T00:00:00"/>
    <n v="2430"/>
  </r>
  <r>
    <x v="0"/>
    <x v="0"/>
    <d v="2021-06-08T00:00:00"/>
    <n v="2000.4"/>
  </r>
  <r>
    <x v="6"/>
    <x v="2"/>
    <d v="2021-06-08T00:00:00"/>
    <n v="1787.6000000000001"/>
  </r>
  <r>
    <x v="22"/>
    <x v="4"/>
    <d v="2021-06-09T00:00:00"/>
    <n v="1612"/>
  </r>
  <r>
    <x v="9"/>
    <x v="0"/>
    <d v="2021-06-09T00:00:00"/>
    <n v="1543.6000000000001"/>
  </r>
  <r>
    <x v="11"/>
    <x v="0"/>
    <d v="2021-06-09T00:00:00"/>
    <n v="1441.2"/>
  </r>
  <r>
    <x v="15"/>
    <x v="0"/>
    <d v="2021-06-09T00:00:00"/>
    <n v="1188.4000000000001"/>
  </r>
  <r>
    <x v="23"/>
    <x v="3"/>
    <d v="2021-06-09T00:00:00"/>
    <n v="1170.4000000000001"/>
  </r>
  <r>
    <x v="7"/>
    <x v="1"/>
    <d v="2021-06-09T00:00:00"/>
    <n v="1131.6000000000001"/>
  </r>
  <r>
    <x v="3"/>
    <x v="1"/>
    <d v="2021-06-09T00:00:00"/>
    <n v="1113.6000000000001"/>
  </r>
  <r>
    <x v="2"/>
    <x v="1"/>
    <d v="2021-06-09T00:00:00"/>
    <n v="1074.8"/>
  </r>
  <r>
    <x v="18"/>
    <x v="4"/>
    <d v="2021-06-09T00:00:00"/>
    <n v="1047.6000000000001"/>
  </r>
  <r>
    <x v="6"/>
    <x v="2"/>
    <d v="2021-06-09T00:00:00"/>
    <n v="968.40000000000009"/>
  </r>
  <r>
    <x v="8"/>
    <x v="2"/>
    <d v="2021-06-09T00:00:00"/>
    <n v="964.80000000000007"/>
  </r>
  <r>
    <x v="12"/>
    <x v="3"/>
    <d v="2021-06-09T00:00:00"/>
    <n v="913.6"/>
  </r>
  <r>
    <x v="10"/>
    <x v="0"/>
    <d v="2021-06-09T00:00:00"/>
    <n v="897.6"/>
  </r>
  <r>
    <x v="16"/>
    <x v="1"/>
    <d v="2021-06-09T00:00:00"/>
    <n v="892"/>
  </r>
  <r>
    <x v="20"/>
    <x v="3"/>
    <d v="2021-06-09T00:00:00"/>
    <n v="807.6"/>
  </r>
  <r>
    <x v="1"/>
    <x v="0"/>
    <d v="2021-06-09T00:00:00"/>
    <n v="797.2"/>
  </r>
  <r>
    <x v="5"/>
    <x v="0"/>
    <d v="2021-06-09T00:00:00"/>
    <n v="765.2"/>
  </r>
  <r>
    <x v="13"/>
    <x v="0"/>
    <d v="2021-06-09T00:00:00"/>
    <n v="463.6"/>
  </r>
  <r>
    <x v="14"/>
    <x v="3"/>
    <d v="2021-06-09T00:00:00"/>
    <n v="461.20000000000005"/>
  </r>
  <r>
    <x v="17"/>
    <x v="1"/>
    <d v="2021-06-09T00:00:00"/>
    <n v="407.20000000000005"/>
  </r>
  <r>
    <x v="4"/>
    <x v="1"/>
    <d v="2021-06-09T00:00:00"/>
    <n v="363.6"/>
  </r>
  <r>
    <x v="21"/>
    <x v="1"/>
    <d v="2021-06-09T00:00:00"/>
    <n v="361.6"/>
  </r>
  <r>
    <x v="19"/>
    <x v="2"/>
    <d v="2021-06-09T00:00:00"/>
    <n v="205.60000000000002"/>
  </r>
  <r>
    <x v="0"/>
    <x v="0"/>
    <d v="2021-06-09T00:00:00"/>
    <n v="1820"/>
  </r>
  <r>
    <x v="3"/>
    <x v="1"/>
    <d v="2021-06-10T00:00:00"/>
    <n v="1446.8000000000002"/>
  </r>
  <r>
    <x v="10"/>
    <x v="0"/>
    <d v="2021-06-10T00:00:00"/>
    <n v="1172.4000000000001"/>
  </r>
  <r>
    <x v="2"/>
    <x v="1"/>
    <d v="2021-06-10T00:00:00"/>
    <n v="1167.6000000000001"/>
  </r>
  <r>
    <x v="11"/>
    <x v="0"/>
    <d v="2021-06-10T00:00:00"/>
    <n v="1070"/>
  </r>
  <r>
    <x v="16"/>
    <x v="1"/>
    <d v="2021-06-10T00:00:00"/>
    <n v="1026.4000000000001"/>
  </r>
  <r>
    <x v="15"/>
    <x v="0"/>
    <d v="2021-06-10T00:00:00"/>
    <n v="1024.4000000000001"/>
  </r>
  <r>
    <x v="1"/>
    <x v="0"/>
    <d v="2021-06-10T00:00:00"/>
    <n v="1000.4000000000001"/>
  </r>
  <r>
    <x v="12"/>
    <x v="3"/>
    <d v="2021-06-10T00:00:00"/>
    <n v="989.2"/>
  </r>
  <r>
    <x v="6"/>
    <x v="2"/>
    <d v="2021-06-10T00:00:00"/>
    <n v="984.40000000000009"/>
  </r>
  <r>
    <x v="8"/>
    <x v="2"/>
    <d v="2021-06-10T00:00:00"/>
    <n v="910"/>
  </r>
  <r>
    <x v="20"/>
    <x v="3"/>
    <d v="2021-06-10T00:00:00"/>
    <n v="885.2"/>
  </r>
  <r>
    <x v="5"/>
    <x v="0"/>
    <d v="2021-06-10T00:00:00"/>
    <n v="870"/>
  </r>
  <r>
    <x v="7"/>
    <x v="1"/>
    <d v="2021-06-10T00:00:00"/>
    <n v="820.40000000000009"/>
  </r>
  <r>
    <x v="18"/>
    <x v="4"/>
    <d v="2021-06-10T00:00:00"/>
    <n v="793.6"/>
  </r>
  <r>
    <x v="23"/>
    <x v="3"/>
    <d v="2021-06-10T00:00:00"/>
    <n v="756"/>
  </r>
  <r>
    <x v="21"/>
    <x v="1"/>
    <d v="2021-06-10T00:00:00"/>
    <n v="552.80000000000007"/>
  </r>
  <r>
    <x v="4"/>
    <x v="1"/>
    <d v="2021-06-10T00:00:00"/>
    <n v="549.6"/>
  </r>
  <r>
    <x v="13"/>
    <x v="0"/>
    <d v="2021-06-10T00:00:00"/>
    <n v="345.20000000000005"/>
  </r>
  <r>
    <x v="17"/>
    <x v="1"/>
    <d v="2021-06-10T00:00:00"/>
    <n v="320.40000000000003"/>
  </r>
  <r>
    <x v="14"/>
    <x v="3"/>
    <d v="2021-06-10T00:00:00"/>
    <n v="248"/>
  </r>
  <r>
    <x v="19"/>
    <x v="2"/>
    <d v="2021-06-10T00:00:00"/>
    <n v="128.80000000000001"/>
  </r>
  <r>
    <x v="22"/>
    <x v="4"/>
    <d v="2021-06-10T00:00:00"/>
    <n v="2076.4"/>
  </r>
  <r>
    <x v="9"/>
    <x v="0"/>
    <d v="2021-06-10T00:00:00"/>
    <n v="1685.6000000000001"/>
  </r>
  <r>
    <x v="0"/>
    <x v="0"/>
    <d v="2021-06-10T00:00:00"/>
    <n v="1636.8000000000002"/>
  </r>
  <r>
    <x v="6"/>
    <x v="2"/>
    <d v="2021-06-11T00:00:00"/>
    <n v="1200"/>
  </r>
  <r>
    <x v="3"/>
    <x v="1"/>
    <d v="2021-06-11T00:00:00"/>
    <n v="1125.6000000000001"/>
  </r>
  <r>
    <x v="22"/>
    <x v="4"/>
    <d v="2021-06-11T00:00:00"/>
    <n v="947.6"/>
  </r>
  <r>
    <x v="1"/>
    <x v="0"/>
    <d v="2021-06-11T00:00:00"/>
    <n v="904.40000000000009"/>
  </r>
  <r>
    <x v="12"/>
    <x v="3"/>
    <d v="2021-06-11T00:00:00"/>
    <n v="798"/>
  </r>
  <r>
    <x v="8"/>
    <x v="2"/>
    <d v="2021-06-11T00:00:00"/>
    <n v="795.6"/>
  </r>
  <r>
    <x v="18"/>
    <x v="4"/>
    <d v="2021-06-11T00:00:00"/>
    <n v="769.2"/>
  </r>
  <r>
    <x v="23"/>
    <x v="3"/>
    <d v="2021-06-11T00:00:00"/>
    <n v="718"/>
  </r>
  <r>
    <x v="20"/>
    <x v="3"/>
    <d v="2021-06-11T00:00:00"/>
    <n v="632.80000000000007"/>
  </r>
  <r>
    <x v="10"/>
    <x v="0"/>
    <d v="2021-06-11T00:00:00"/>
    <n v="618.40000000000009"/>
  </r>
  <r>
    <x v="4"/>
    <x v="1"/>
    <d v="2021-06-11T00:00:00"/>
    <n v="596.80000000000007"/>
  </r>
  <r>
    <x v="0"/>
    <x v="0"/>
    <d v="2021-06-11T00:00:00"/>
    <n v="589.6"/>
  </r>
  <r>
    <x v="9"/>
    <x v="0"/>
    <d v="2021-06-11T00:00:00"/>
    <n v="576.80000000000007"/>
  </r>
  <r>
    <x v="13"/>
    <x v="0"/>
    <d v="2021-06-11T00:00:00"/>
    <n v="503.6"/>
  </r>
  <r>
    <x v="16"/>
    <x v="1"/>
    <d v="2021-06-11T00:00:00"/>
    <n v="495.20000000000005"/>
  </r>
  <r>
    <x v="5"/>
    <x v="0"/>
    <d v="2021-06-11T00:00:00"/>
    <n v="478"/>
  </r>
  <r>
    <x v="11"/>
    <x v="0"/>
    <d v="2021-06-11T00:00:00"/>
    <n v="408.8"/>
  </r>
  <r>
    <x v="7"/>
    <x v="1"/>
    <d v="2021-06-11T00:00:00"/>
    <n v="387.20000000000005"/>
  </r>
  <r>
    <x v="14"/>
    <x v="3"/>
    <d v="2021-06-11T00:00:00"/>
    <n v="375.6"/>
  </r>
  <r>
    <x v="15"/>
    <x v="0"/>
    <d v="2021-06-11T00:00:00"/>
    <n v="370"/>
  </r>
  <r>
    <x v="21"/>
    <x v="1"/>
    <d v="2021-06-11T00:00:00"/>
    <n v="341.20000000000005"/>
  </r>
  <r>
    <x v="19"/>
    <x v="2"/>
    <d v="2021-06-11T00:00:00"/>
    <n v="182.4"/>
  </r>
  <r>
    <x v="17"/>
    <x v="1"/>
    <d v="2021-06-11T00:00:00"/>
    <n v="154"/>
  </r>
  <r>
    <x v="2"/>
    <x v="1"/>
    <d v="2021-06-11T00:00:00"/>
    <n v="1303.2"/>
  </r>
  <r>
    <x v="2"/>
    <x v="1"/>
    <d v="2021-06-12T00:00:00"/>
    <n v="1244"/>
  </r>
  <r>
    <x v="22"/>
    <x v="4"/>
    <d v="2021-06-12T00:00:00"/>
    <n v="1139.2"/>
  </r>
  <r>
    <x v="1"/>
    <x v="0"/>
    <d v="2021-06-12T00:00:00"/>
    <n v="1076.8"/>
  </r>
  <r>
    <x v="3"/>
    <x v="1"/>
    <d v="2021-06-12T00:00:00"/>
    <n v="941.2"/>
  </r>
  <r>
    <x v="0"/>
    <x v="0"/>
    <d v="2021-06-12T00:00:00"/>
    <n v="925.6"/>
  </r>
  <r>
    <x v="6"/>
    <x v="2"/>
    <d v="2021-06-12T00:00:00"/>
    <n v="894"/>
  </r>
  <r>
    <x v="11"/>
    <x v="0"/>
    <d v="2021-06-12T00:00:00"/>
    <n v="836.40000000000009"/>
  </r>
  <r>
    <x v="23"/>
    <x v="3"/>
    <d v="2021-06-12T00:00:00"/>
    <n v="742.40000000000009"/>
  </r>
  <r>
    <x v="16"/>
    <x v="1"/>
    <d v="2021-06-12T00:00:00"/>
    <n v="640"/>
  </r>
  <r>
    <x v="12"/>
    <x v="3"/>
    <d v="2021-06-12T00:00:00"/>
    <n v="618.40000000000009"/>
  </r>
  <r>
    <x v="9"/>
    <x v="0"/>
    <d v="2021-06-12T00:00:00"/>
    <n v="600"/>
  </r>
  <r>
    <x v="8"/>
    <x v="2"/>
    <d v="2021-06-12T00:00:00"/>
    <n v="580"/>
  </r>
  <r>
    <x v="15"/>
    <x v="0"/>
    <d v="2021-06-12T00:00:00"/>
    <n v="562"/>
  </r>
  <r>
    <x v="20"/>
    <x v="3"/>
    <d v="2021-06-12T00:00:00"/>
    <n v="518.4"/>
  </r>
  <r>
    <x v="18"/>
    <x v="4"/>
    <d v="2021-06-12T00:00:00"/>
    <n v="485.6"/>
  </r>
  <r>
    <x v="5"/>
    <x v="0"/>
    <d v="2021-06-12T00:00:00"/>
    <n v="438.8"/>
  </r>
  <r>
    <x v="13"/>
    <x v="0"/>
    <d v="2021-06-12T00:00:00"/>
    <n v="347.6"/>
  </r>
  <r>
    <x v="14"/>
    <x v="3"/>
    <d v="2021-06-12T00:00:00"/>
    <n v="279.2"/>
  </r>
  <r>
    <x v="19"/>
    <x v="2"/>
    <d v="2021-06-12T00:00:00"/>
    <n v="273.60000000000002"/>
  </r>
  <r>
    <x v="10"/>
    <x v="0"/>
    <d v="2021-06-12T00:00:00"/>
    <n v="262"/>
  </r>
  <r>
    <x v="7"/>
    <x v="1"/>
    <d v="2021-06-12T00:00:00"/>
    <n v="208.4"/>
  </r>
  <r>
    <x v="21"/>
    <x v="1"/>
    <d v="2021-06-12T00:00:00"/>
    <n v="164.4"/>
  </r>
  <r>
    <x v="4"/>
    <x v="1"/>
    <d v="2021-06-12T00:00:00"/>
    <n v="158.4"/>
  </r>
  <r>
    <x v="17"/>
    <x v="1"/>
    <d v="2021-06-12T00:00:00"/>
    <n v="157.60000000000002"/>
  </r>
  <r>
    <x v="11"/>
    <x v="0"/>
    <d v="2021-06-13T00:00:00"/>
    <n v="1266.4000000000001"/>
  </r>
  <r>
    <x v="9"/>
    <x v="0"/>
    <d v="2021-06-13T00:00:00"/>
    <n v="1242.4000000000001"/>
  </r>
  <r>
    <x v="3"/>
    <x v="1"/>
    <d v="2021-06-13T00:00:00"/>
    <n v="1068"/>
  </r>
  <r>
    <x v="8"/>
    <x v="2"/>
    <d v="2021-06-13T00:00:00"/>
    <n v="998"/>
  </r>
  <r>
    <x v="18"/>
    <x v="4"/>
    <d v="2021-06-13T00:00:00"/>
    <n v="977.2"/>
  </r>
  <r>
    <x v="0"/>
    <x v="0"/>
    <d v="2021-06-13T00:00:00"/>
    <n v="965.6"/>
  </r>
  <r>
    <x v="10"/>
    <x v="0"/>
    <d v="2021-06-13T00:00:00"/>
    <n v="956"/>
  </r>
  <r>
    <x v="23"/>
    <x v="3"/>
    <d v="2021-06-13T00:00:00"/>
    <n v="874.40000000000009"/>
  </r>
  <r>
    <x v="6"/>
    <x v="2"/>
    <d v="2021-06-13T00:00:00"/>
    <n v="837.6"/>
  </r>
  <r>
    <x v="2"/>
    <x v="1"/>
    <d v="2021-06-13T00:00:00"/>
    <n v="816"/>
  </r>
  <r>
    <x v="15"/>
    <x v="0"/>
    <d v="2021-06-13T00:00:00"/>
    <n v="786"/>
  </r>
  <r>
    <x v="16"/>
    <x v="1"/>
    <d v="2021-06-13T00:00:00"/>
    <n v="753.2"/>
  </r>
  <r>
    <x v="14"/>
    <x v="3"/>
    <d v="2021-06-13T00:00:00"/>
    <n v="707.6"/>
  </r>
  <r>
    <x v="1"/>
    <x v="0"/>
    <d v="2021-06-13T00:00:00"/>
    <n v="685.6"/>
  </r>
  <r>
    <x v="5"/>
    <x v="0"/>
    <d v="2021-06-13T00:00:00"/>
    <n v="680"/>
  </r>
  <r>
    <x v="12"/>
    <x v="3"/>
    <d v="2021-06-13T00:00:00"/>
    <n v="654"/>
  </r>
  <r>
    <x v="7"/>
    <x v="1"/>
    <d v="2021-06-13T00:00:00"/>
    <n v="628.80000000000007"/>
  </r>
  <r>
    <x v="20"/>
    <x v="3"/>
    <d v="2021-06-13T00:00:00"/>
    <n v="591.6"/>
  </r>
  <r>
    <x v="13"/>
    <x v="0"/>
    <d v="2021-06-13T00:00:00"/>
    <n v="529.6"/>
  </r>
  <r>
    <x v="4"/>
    <x v="1"/>
    <d v="2021-06-13T00:00:00"/>
    <n v="384.40000000000003"/>
  </r>
  <r>
    <x v="17"/>
    <x v="1"/>
    <d v="2021-06-13T00:00:00"/>
    <n v="362.8"/>
  </r>
  <r>
    <x v="21"/>
    <x v="1"/>
    <d v="2021-06-13T00:00:00"/>
    <n v="348.40000000000003"/>
  </r>
  <r>
    <x v="19"/>
    <x v="2"/>
    <d v="2021-06-13T00:00:00"/>
    <n v="207.20000000000002"/>
  </r>
  <r>
    <x v="22"/>
    <x v="4"/>
    <d v="2021-06-13T00:00:00"/>
    <n v="2230"/>
  </r>
  <r>
    <x v="2"/>
    <x v="1"/>
    <d v="2021-06-14T00:00:00"/>
    <n v="1412.8000000000002"/>
  </r>
  <r>
    <x v="11"/>
    <x v="0"/>
    <d v="2021-06-14T00:00:00"/>
    <n v="1350.4"/>
  </r>
  <r>
    <x v="6"/>
    <x v="2"/>
    <d v="2021-06-14T00:00:00"/>
    <n v="1115.2"/>
  </r>
  <r>
    <x v="10"/>
    <x v="0"/>
    <d v="2021-06-14T00:00:00"/>
    <n v="1102.8"/>
  </r>
  <r>
    <x v="3"/>
    <x v="1"/>
    <d v="2021-06-14T00:00:00"/>
    <n v="1004.4000000000001"/>
  </r>
  <r>
    <x v="0"/>
    <x v="0"/>
    <d v="2021-06-14T00:00:00"/>
    <n v="986"/>
  </r>
  <r>
    <x v="9"/>
    <x v="0"/>
    <d v="2021-06-14T00:00:00"/>
    <n v="968.40000000000009"/>
  </r>
  <r>
    <x v="8"/>
    <x v="2"/>
    <d v="2021-06-14T00:00:00"/>
    <n v="964"/>
  </r>
  <r>
    <x v="20"/>
    <x v="3"/>
    <d v="2021-06-14T00:00:00"/>
    <n v="882.40000000000009"/>
  </r>
  <r>
    <x v="7"/>
    <x v="1"/>
    <d v="2021-06-14T00:00:00"/>
    <n v="870.80000000000007"/>
  </r>
  <r>
    <x v="15"/>
    <x v="0"/>
    <d v="2021-06-14T00:00:00"/>
    <n v="866.80000000000007"/>
  </r>
  <r>
    <x v="5"/>
    <x v="0"/>
    <d v="2021-06-14T00:00:00"/>
    <n v="829.2"/>
  </r>
  <r>
    <x v="12"/>
    <x v="3"/>
    <d v="2021-06-14T00:00:00"/>
    <n v="804.40000000000009"/>
  </r>
  <r>
    <x v="1"/>
    <x v="0"/>
    <d v="2021-06-14T00:00:00"/>
    <n v="710"/>
  </r>
  <r>
    <x v="23"/>
    <x v="3"/>
    <d v="2021-06-14T00:00:00"/>
    <n v="624.40000000000009"/>
  </r>
  <r>
    <x v="4"/>
    <x v="1"/>
    <d v="2021-06-14T00:00:00"/>
    <n v="616"/>
  </r>
  <r>
    <x v="16"/>
    <x v="1"/>
    <d v="2021-06-14T00:00:00"/>
    <n v="557.20000000000005"/>
  </r>
  <r>
    <x v="21"/>
    <x v="1"/>
    <d v="2021-06-14T00:00:00"/>
    <n v="477.6"/>
  </r>
  <r>
    <x v="14"/>
    <x v="3"/>
    <d v="2021-06-14T00:00:00"/>
    <n v="378.40000000000003"/>
  </r>
  <r>
    <x v="13"/>
    <x v="0"/>
    <d v="2021-06-14T00:00:00"/>
    <n v="351.6"/>
  </r>
  <r>
    <x v="19"/>
    <x v="2"/>
    <d v="2021-06-14T00:00:00"/>
    <n v="290.40000000000003"/>
  </r>
  <r>
    <x v="17"/>
    <x v="1"/>
    <d v="2021-06-14T00:00:00"/>
    <n v="197.60000000000002"/>
  </r>
  <r>
    <x v="22"/>
    <x v="4"/>
    <d v="2021-06-14T00:00:00"/>
    <n v="2062.8000000000002"/>
  </r>
  <r>
    <x v="6"/>
    <x v="2"/>
    <d v="2021-06-15T00:00:00"/>
    <n v="1107.2"/>
  </r>
  <r>
    <x v="2"/>
    <x v="1"/>
    <d v="2021-06-15T00:00:00"/>
    <n v="1080.8"/>
  </r>
  <r>
    <x v="8"/>
    <x v="2"/>
    <d v="2021-06-15T00:00:00"/>
    <n v="1011.2"/>
  </r>
  <r>
    <x v="3"/>
    <x v="1"/>
    <d v="2021-06-15T00:00:00"/>
    <n v="1010"/>
  </r>
  <r>
    <x v="16"/>
    <x v="1"/>
    <d v="2021-06-15T00:00:00"/>
    <n v="888.80000000000007"/>
  </r>
  <r>
    <x v="5"/>
    <x v="0"/>
    <d v="2021-06-15T00:00:00"/>
    <n v="800"/>
  </r>
  <r>
    <x v="15"/>
    <x v="0"/>
    <d v="2021-06-15T00:00:00"/>
    <n v="786"/>
  </r>
  <r>
    <x v="18"/>
    <x v="4"/>
    <d v="2021-06-15T00:00:00"/>
    <n v="761.2"/>
  </r>
  <r>
    <x v="1"/>
    <x v="0"/>
    <d v="2021-06-15T00:00:00"/>
    <n v="722.40000000000009"/>
  </r>
  <r>
    <x v="12"/>
    <x v="3"/>
    <d v="2021-06-15T00:00:00"/>
    <n v="588"/>
  </r>
  <r>
    <x v="7"/>
    <x v="1"/>
    <d v="2021-06-15T00:00:00"/>
    <n v="544.80000000000007"/>
  </r>
  <r>
    <x v="23"/>
    <x v="3"/>
    <d v="2021-06-15T00:00:00"/>
    <n v="501.20000000000005"/>
  </r>
  <r>
    <x v="20"/>
    <x v="3"/>
    <d v="2021-06-15T00:00:00"/>
    <n v="461.6"/>
  </r>
  <r>
    <x v="13"/>
    <x v="0"/>
    <d v="2021-06-15T00:00:00"/>
    <n v="447.20000000000005"/>
  </r>
  <r>
    <x v="14"/>
    <x v="3"/>
    <d v="2021-06-15T00:00:00"/>
    <n v="424.40000000000003"/>
  </r>
  <r>
    <x v="21"/>
    <x v="1"/>
    <d v="2021-06-15T00:00:00"/>
    <n v="396"/>
  </r>
  <r>
    <x v="4"/>
    <x v="1"/>
    <d v="2021-06-15T00:00:00"/>
    <n v="301.2"/>
  </r>
  <r>
    <x v="19"/>
    <x v="2"/>
    <d v="2021-06-15T00:00:00"/>
    <n v="244.8"/>
  </r>
  <r>
    <x v="17"/>
    <x v="1"/>
    <d v="2021-06-15T00:00:00"/>
    <n v="141.6"/>
  </r>
  <r>
    <x v="22"/>
    <x v="4"/>
    <d v="2021-06-15T00:00:00"/>
    <n v="2602.4"/>
  </r>
  <r>
    <x v="0"/>
    <x v="0"/>
    <d v="2021-06-15T00:00:00"/>
    <n v="1344.4"/>
  </r>
  <r>
    <x v="9"/>
    <x v="0"/>
    <d v="2021-06-15T00:00:00"/>
    <n v="1339.6000000000001"/>
  </r>
  <r>
    <x v="10"/>
    <x v="0"/>
    <d v="2021-06-15T00:00:00"/>
    <n v="1302.4000000000001"/>
  </r>
  <r>
    <x v="11"/>
    <x v="0"/>
    <d v="2021-06-15T00:00:00"/>
    <n v="1724.4"/>
  </r>
  <r>
    <x v="0"/>
    <x v="0"/>
    <d v="2021-06-16T00:00:00"/>
    <n v="1396.8000000000002"/>
  </r>
  <r>
    <x v="9"/>
    <x v="0"/>
    <d v="2021-06-16T00:00:00"/>
    <n v="1386"/>
  </r>
  <r>
    <x v="10"/>
    <x v="0"/>
    <d v="2021-06-16T00:00:00"/>
    <n v="1257.6000000000001"/>
  </r>
  <r>
    <x v="6"/>
    <x v="2"/>
    <d v="2021-06-16T00:00:00"/>
    <n v="1212.4000000000001"/>
  </r>
  <r>
    <x v="3"/>
    <x v="1"/>
    <d v="2021-06-16T00:00:00"/>
    <n v="1189.2"/>
  </r>
  <r>
    <x v="11"/>
    <x v="0"/>
    <d v="2021-06-16T00:00:00"/>
    <n v="1047.2"/>
  </r>
  <r>
    <x v="12"/>
    <x v="3"/>
    <d v="2021-06-16T00:00:00"/>
    <n v="1026.8"/>
  </r>
  <r>
    <x v="7"/>
    <x v="1"/>
    <d v="2021-06-16T00:00:00"/>
    <n v="1005.2"/>
  </r>
  <r>
    <x v="5"/>
    <x v="0"/>
    <d v="2021-06-16T00:00:00"/>
    <n v="912"/>
  </r>
  <r>
    <x v="18"/>
    <x v="4"/>
    <d v="2021-06-16T00:00:00"/>
    <n v="832.80000000000007"/>
  </r>
  <r>
    <x v="15"/>
    <x v="0"/>
    <d v="2021-06-16T00:00:00"/>
    <n v="780"/>
  </r>
  <r>
    <x v="16"/>
    <x v="1"/>
    <d v="2021-06-16T00:00:00"/>
    <n v="664.80000000000007"/>
  </r>
  <r>
    <x v="23"/>
    <x v="3"/>
    <d v="2021-06-16T00:00:00"/>
    <n v="640.80000000000007"/>
  </r>
  <r>
    <x v="1"/>
    <x v="0"/>
    <d v="2021-06-16T00:00:00"/>
    <n v="632.40000000000009"/>
  </r>
  <r>
    <x v="20"/>
    <x v="3"/>
    <d v="2021-06-16T00:00:00"/>
    <n v="605.6"/>
  </r>
  <r>
    <x v="4"/>
    <x v="1"/>
    <d v="2021-06-16T00:00:00"/>
    <n v="584.80000000000007"/>
  </r>
  <r>
    <x v="2"/>
    <x v="1"/>
    <d v="2021-06-16T00:00:00"/>
    <n v="506.40000000000003"/>
  </r>
  <r>
    <x v="21"/>
    <x v="1"/>
    <d v="2021-06-16T00:00:00"/>
    <n v="408"/>
  </r>
  <r>
    <x v="14"/>
    <x v="3"/>
    <d v="2021-06-16T00:00:00"/>
    <n v="268"/>
  </r>
  <r>
    <x v="17"/>
    <x v="1"/>
    <d v="2021-06-16T00:00:00"/>
    <n v="258.8"/>
  </r>
  <r>
    <x v="19"/>
    <x v="2"/>
    <d v="2021-06-16T00:00:00"/>
    <n v="228.4"/>
  </r>
  <r>
    <x v="13"/>
    <x v="0"/>
    <d v="2021-06-16T00:00:00"/>
    <n v="154"/>
  </r>
  <r>
    <x v="22"/>
    <x v="4"/>
    <d v="2021-06-16T00:00:00"/>
    <n v="2490.8000000000002"/>
  </r>
  <r>
    <x v="8"/>
    <x v="2"/>
    <d v="2021-06-16T00:00:00"/>
    <n v="1290.8000000000002"/>
  </r>
  <r>
    <x v="18"/>
    <x v="4"/>
    <d v="2021-06-17T00:00:00"/>
    <n v="1471.2"/>
  </r>
  <r>
    <x v="2"/>
    <x v="1"/>
    <d v="2021-06-17T00:00:00"/>
    <n v="1455.6000000000001"/>
  </r>
  <r>
    <x v="23"/>
    <x v="3"/>
    <d v="2021-06-17T00:00:00"/>
    <n v="1044.8"/>
  </r>
  <r>
    <x v="10"/>
    <x v="0"/>
    <d v="2021-06-17T00:00:00"/>
    <n v="956.80000000000007"/>
  </r>
  <r>
    <x v="8"/>
    <x v="2"/>
    <d v="2021-06-17T00:00:00"/>
    <n v="917.6"/>
  </r>
  <r>
    <x v="5"/>
    <x v="0"/>
    <d v="2021-06-17T00:00:00"/>
    <n v="752"/>
  </r>
  <r>
    <x v="7"/>
    <x v="1"/>
    <d v="2021-06-17T00:00:00"/>
    <n v="733.2"/>
  </r>
  <r>
    <x v="15"/>
    <x v="0"/>
    <d v="2021-06-17T00:00:00"/>
    <n v="709.2"/>
  </r>
  <r>
    <x v="17"/>
    <x v="1"/>
    <d v="2021-06-17T00:00:00"/>
    <n v="701.6"/>
  </r>
  <r>
    <x v="16"/>
    <x v="1"/>
    <d v="2021-06-17T00:00:00"/>
    <n v="701.2"/>
  </r>
  <r>
    <x v="14"/>
    <x v="3"/>
    <d v="2021-06-17T00:00:00"/>
    <n v="594"/>
  </r>
  <r>
    <x v="12"/>
    <x v="3"/>
    <d v="2021-06-17T00:00:00"/>
    <n v="557.20000000000005"/>
  </r>
  <r>
    <x v="4"/>
    <x v="1"/>
    <d v="2021-06-17T00:00:00"/>
    <n v="503.6"/>
  </r>
  <r>
    <x v="20"/>
    <x v="3"/>
    <d v="2021-06-17T00:00:00"/>
    <n v="480.8"/>
  </r>
  <r>
    <x v="21"/>
    <x v="1"/>
    <d v="2021-06-17T00:00:00"/>
    <n v="390.8"/>
  </r>
  <r>
    <x v="1"/>
    <x v="0"/>
    <d v="2021-06-17T00:00:00"/>
    <n v="314.40000000000003"/>
  </r>
  <r>
    <x v="13"/>
    <x v="0"/>
    <d v="2021-06-17T00:00:00"/>
    <n v="222"/>
  </r>
  <r>
    <x v="19"/>
    <x v="2"/>
    <d v="2021-06-17T00:00:00"/>
    <n v="208.4"/>
  </r>
  <r>
    <x v="0"/>
    <x v="0"/>
    <d v="2021-06-17T00:00:00"/>
    <n v="2191.2000000000003"/>
  </r>
  <r>
    <x v="22"/>
    <x v="4"/>
    <d v="2021-06-17T00:00:00"/>
    <n v="2171.2000000000003"/>
  </r>
  <r>
    <x v="3"/>
    <x v="1"/>
    <d v="2021-06-17T00:00:00"/>
    <n v="1300.8000000000002"/>
  </r>
  <r>
    <x v="9"/>
    <x v="0"/>
    <d v="2021-06-17T00:00:00"/>
    <n v="1764"/>
  </r>
  <r>
    <x v="11"/>
    <x v="0"/>
    <d v="2021-06-17T00:00:00"/>
    <n v="1646"/>
  </r>
  <r>
    <x v="22"/>
    <x v="4"/>
    <d v="2021-06-18T00:00:00"/>
    <n v="1231.2"/>
  </r>
  <r>
    <x v="3"/>
    <x v="1"/>
    <d v="2021-06-18T00:00:00"/>
    <n v="1069.6000000000001"/>
  </r>
  <r>
    <x v="1"/>
    <x v="0"/>
    <d v="2021-06-18T00:00:00"/>
    <n v="1067.6000000000001"/>
  </r>
  <r>
    <x v="0"/>
    <x v="0"/>
    <d v="2021-06-18T00:00:00"/>
    <n v="885.6"/>
  </r>
  <r>
    <x v="11"/>
    <x v="0"/>
    <d v="2021-06-18T00:00:00"/>
    <n v="870.40000000000009"/>
  </r>
  <r>
    <x v="12"/>
    <x v="3"/>
    <d v="2021-06-18T00:00:00"/>
    <n v="817.6"/>
  </r>
  <r>
    <x v="2"/>
    <x v="1"/>
    <d v="2021-06-18T00:00:00"/>
    <n v="783.6"/>
  </r>
  <r>
    <x v="23"/>
    <x v="3"/>
    <d v="2021-06-18T00:00:00"/>
    <n v="781.6"/>
  </r>
  <r>
    <x v="10"/>
    <x v="0"/>
    <d v="2021-06-18T00:00:00"/>
    <n v="629.6"/>
  </r>
  <r>
    <x v="8"/>
    <x v="2"/>
    <d v="2021-06-18T00:00:00"/>
    <n v="620.40000000000009"/>
  </r>
  <r>
    <x v="21"/>
    <x v="1"/>
    <d v="2021-06-18T00:00:00"/>
    <n v="617.20000000000005"/>
  </r>
  <r>
    <x v="15"/>
    <x v="0"/>
    <d v="2021-06-18T00:00:00"/>
    <n v="575.20000000000005"/>
  </r>
  <r>
    <x v="9"/>
    <x v="0"/>
    <d v="2021-06-18T00:00:00"/>
    <n v="572"/>
  </r>
  <r>
    <x v="14"/>
    <x v="3"/>
    <d v="2021-06-18T00:00:00"/>
    <n v="556.4"/>
  </r>
  <r>
    <x v="5"/>
    <x v="0"/>
    <d v="2021-06-18T00:00:00"/>
    <n v="521.6"/>
  </r>
  <r>
    <x v="20"/>
    <x v="3"/>
    <d v="2021-06-18T00:00:00"/>
    <n v="458.8"/>
  </r>
  <r>
    <x v="18"/>
    <x v="4"/>
    <d v="2021-06-18T00:00:00"/>
    <n v="435.20000000000005"/>
  </r>
  <r>
    <x v="16"/>
    <x v="1"/>
    <d v="2021-06-18T00:00:00"/>
    <n v="394"/>
  </r>
  <r>
    <x v="7"/>
    <x v="1"/>
    <d v="2021-06-18T00:00:00"/>
    <n v="368.8"/>
  </r>
  <r>
    <x v="4"/>
    <x v="1"/>
    <d v="2021-06-18T00:00:00"/>
    <n v="251.20000000000002"/>
  </r>
  <r>
    <x v="13"/>
    <x v="0"/>
    <d v="2021-06-18T00:00:00"/>
    <n v="229.20000000000002"/>
  </r>
  <r>
    <x v="17"/>
    <x v="1"/>
    <d v="2021-06-18T00:00:00"/>
    <n v="205.60000000000002"/>
  </r>
  <r>
    <x v="19"/>
    <x v="2"/>
    <d v="2021-06-18T00:00:00"/>
    <n v="192.8"/>
  </r>
  <r>
    <x v="0"/>
    <x v="0"/>
    <d v="2021-06-19T00:00:00"/>
    <n v="1452"/>
  </r>
  <r>
    <x v="22"/>
    <x v="4"/>
    <d v="2021-06-19T00:00:00"/>
    <n v="1140.8"/>
  </r>
  <r>
    <x v="3"/>
    <x v="1"/>
    <d v="2021-06-19T00:00:00"/>
    <n v="1053.6000000000001"/>
  </r>
  <r>
    <x v="20"/>
    <x v="3"/>
    <d v="2021-06-19T00:00:00"/>
    <n v="1023.2"/>
  </r>
  <r>
    <x v="9"/>
    <x v="0"/>
    <d v="2021-06-19T00:00:00"/>
    <n v="831.6"/>
  </r>
  <r>
    <x v="11"/>
    <x v="0"/>
    <d v="2021-06-19T00:00:00"/>
    <n v="801.6"/>
  </r>
  <r>
    <x v="2"/>
    <x v="1"/>
    <d v="2021-06-19T00:00:00"/>
    <n v="795.6"/>
  </r>
  <r>
    <x v="1"/>
    <x v="0"/>
    <d v="2021-06-19T00:00:00"/>
    <n v="788"/>
  </r>
  <r>
    <x v="15"/>
    <x v="0"/>
    <d v="2021-06-19T00:00:00"/>
    <n v="631.20000000000005"/>
  </r>
  <r>
    <x v="18"/>
    <x v="4"/>
    <d v="2021-06-19T00:00:00"/>
    <n v="612"/>
  </r>
  <r>
    <x v="8"/>
    <x v="2"/>
    <d v="2021-06-19T00:00:00"/>
    <n v="582.80000000000007"/>
  </r>
  <r>
    <x v="14"/>
    <x v="3"/>
    <d v="2021-06-19T00:00:00"/>
    <n v="514.80000000000007"/>
  </r>
  <r>
    <x v="10"/>
    <x v="0"/>
    <d v="2021-06-19T00:00:00"/>
    <n v="504.40000000000003"/>
  </r>
  <r>
    <x v="12"/>
    <x v="3"/>
    <d v="2021-06-19T00:00:00"/>
    <n v="460.40000000000003"/>
  </r>
  <r>
    <x v="21"/>
    <x v="1"/>
    <d v="2021-06-19T00:00:00"/>
    <n v="456.8"/>
  </r>
  <r>
    <x v="23"/>
    <x v="3"/>
    <d v="2021-06-19T00:00:00"/>
    <n v="442"/>
  </r>
  <r>
    <x v="17"/>
    <x v="1"/>
    <d v="2021-06-19T00:00:00"/>
    <n v="438"/>
  </r>
  <r>
    <x v="5"/>
    <x v="0"/>
    <d v="2021-06-19T00:00:00"/>
    <n v="346.40000000000003"/>
  </r>
  <r>
    <x v="4"/>
    <x v="1"/>
    <d v="2021-06-19T00:00:00"/>
    <n v="330"/>
  </r>
  <r>
    <x v="16"/>
    <x v="1"/>
    <d v="2021-06-19T00:00:00"/>
    <n v="310.8"/>
  </r>
  <r>
    <x v="19"/>
    <x v="2"/>
    <d v="2021-06-19T00:00:00"/>
    <n v="259.60000000000002"/>
  </r>
  <r>
    <x v="7"/>
    <x v="1"/>
    <d v="2021-06-19T00:00:00"/>
    <n v="258"/>
  </r>
  <r>
    <x v="13"/>
    <x v="0"/>
    <d v="2021-06-19T00:00:00"/>
    <n v="114.4"/>
  </r>
  <r>
    <x v="10"/>
    <x v="0"/>
    <d v="2021-06-20T00:00:00"/>
    <n v="1528.4"/>
  </r>
  <r>
    <x v="9"/>
    <x v="0"/>
    <d v="2021-06-20T00:00:00"/>
    <n v="1174.8"/>
  </r>
  <r>
    <x v="6"/>
    <x v="2"/>
    <d v="2021-06-20T00:00:00"/>
    <n v="1159.2"/>
  </r>
  <r>
    <x v="2"/>
    <x v="1"/>
    <d v="2021-06-20T00:00:00"/>
    <n v="1040"/>
  </r>
  <r>
    <x v="5"/>
    <x v="0"/>
    <d v="2021-06-20T00:00:00"/>
    <n v="1033.6000000000001"/>
  </r>
  <r>
    <x v="18"/>
    <x v="4"/>
    <d v="2021-06-20T00:00:00"/>
    <n v="1022.8000000000001"/>
  </r>
  <r>
    <x v="16"/>
    <x v="1"/>
    <d v="2021-06-20T00:00:00"/>
    <n v="998.40000000000009"/>
  </r>
  <r>
    <x v="3"/>
    <x v="1"/>
    <d v="2021-06-20T00:00:00"/>
    <n v="993.2"/>
  </r>
  <r>
    <x v="8"/>
    <x v="2"/>
    <d v="2021-06-20T00:00:00"/>
    <n v="869.6"/>
  </r>
  <r>
    <x v="12"/>
    <x v="3"/>
    <d v="2021-06-20T00:00:00"/>
    <n v="837.6"/>
  </r>
  <r>
    <x v="23"/>
    <x v="3"/>
    <d v="2021-06-20T00:00:00"/>
    <n v="776.80000000000007"/>
  </r>
  <r>
    <x v="20"/>
    <x v="3"/>
    <d v="2021-06-20T00:00:00"/>
    <n v="728"/>
  </r>
  <r>
    <x v="15"/>
    <x v="0"/>
    <d v="2021-06-20T00:00:00"/>
    <n v="647.6"/>
  </r>
  <r>
    <x v="7"/>
    <x v="1"/>
    <d v="2021-06-20T00:00:00"/>
    <n v="644.40000000000009"/>
  </r>
  <r>
    <x v="1"/>
    <x v="0"/>
    <d v="2021-06-20T00:00:00"/>
    <n v="557.20000000000005"/>
  </r>
  <r>
    <x v="4"/>
    <x v="1"/>
    <d v="2021-06-20T00:00:00"/>
    <n v="506.8"/>
  </r>
  <r>
    <x v="13"/>
    <x v="0"/>
    <d v="2021-06-20T00:00:00"/>
    <n v="435.20000000000005"/>
  </r>
  <r>
    <x v="14"/>
    <x v="3"/>
    <d v="2021-06-20T00:00:00"/>
    <n v="410"/>
  </r>
  <r>
    <x v="21"/>
    <x v="1"/>
    <d v="2021-06-20T00:00:00"/>
    <n v="384.40000000000003"/>
  </r>
  <r>
    <x v="19"/>
    <x v="2"/>
    <d v="2021-06-20T00:00:00"/>
    <n v="358.8"/>
  </r>
  <r>
    <x v="17"/>
    <x v="1"/>
    <d v="2021-06-20T00:00:00"/>
    <n v="284.40000000000003"/>
  </r>
  <r>
    <x v="0"/>
    <x v="0"/>
    <d v="2021-06-20T00:00:00"/>
    <n v="1840"/>
  </r>
  <r>
    <x v="22"/>
    <x v="4"/>
    <d v="2021-06-20T00:00:00"/>
    <n v="1805.2"/>
  </r>
  <r>
    <x v="11"/>
    <x v="0"/>
    <d v="2021-06-20T00:00:00"/>
    <n v="1654"/>
  </r>
  <r>
    <x v="10"/>
    <x v="0"/>
    <d v="2021-06-21T00:00:00"/>
    <n v="1538.8000000000002"/>
  </r>
  <r>
    <x v="8"/>
    <x v="2"/>
    <d v="2021-06-21T00:00:00"/>
    <n v="1252.8000000000002"/>
  </r>
  <r>
    <x v="3"/>
    <x v="1"/>
    <d v="2021-06-21T00:00:00"/>
    <n v="1093.2"/>
  </r>
  <r>
    <x v="6"/>
    <x v="2"/>
    <d v="2021-06-21T00:00:00"/>
    <n v="1064.4000000000001"/>
  </r>
  <r>
    <x v="11"/>
    <x v="0"/>
    <d v="2021-06-21T00:00:00"/>
    <n v="1031.2"/>
  </r>
  <r>
    <x v="18"/>
    <x v="4"/>
    <d v="2021-06-21T00:00:00"/>
    <n v="991.6"/>
  </r>
  <r>
    <x v="12"/>
    <x v="3"/>
    <d v="2021-06-21T00:00:00"/>
    <n v="835.6"/>
  </r>
  <r>
    <x v="5"/>
    <x v="0"/>
    <d v="2021-06-21T00:00:00"/>
    <n v="752.80000000000007"/>
  </r>
  <r>
    <x v="16"/>
    <x v="1"/>
    <d v="2021-06-21T00:00:00"/>
    <n v="748.80000000000007"/>
  </r>
  <r>
    <x v="15"/>
    <x v="0"/>
    <d v="2021-06-21T00:00:00"/>
    <n v="748.40000000000009"/>
  </r>
  <r>
    <x v="23"/>
    <x v="3"/>
    <d v="2021-06-21T00:00:00"/>
    <n v="660.80000000000007"/>
  </r>
  <r>
    <x v="21"/>
    <x v="1"/>
    <d v="2021-06-21T00:00:00"/>
    <n v="656"/>
  </r>
  <r>
    <x v="20"/>
    <x v="3"/>
    <d v="2021-06-21T00:00:00"/>
    <n v="604"/>
  </r>
  <r>
    <x v="1"/>
    <x v="0"/>
    <d v="2021-06-21T00:00:00"/>
    <n v="582.80000000000007"/>
  </r>
  <r>
    <x v="7"/>
    <x v="1"/>
    <d v="2021-06-21T00:00:00"/>
    <n v="494"/>
  </r>
  <r>
    <x v="4"/>
    <x v="1"/>
    <d v="2021-06-21T00:00:00"/>
    <n v="488.8"/>
  </r>
  <r>
    <x v="2"/>
    <x v="1"/>
    <d v="2021-06-21T00:00:00"/>
    <n v="485.20000000000005"/>
  </r>
  <r>
    <x v="14"/>
    <x v="3"/>
    <d v="2021-06-21T00:00:00"/>
    <n v="452.8"/>
  </r>
  <r>
    <x v="13"/>
    <x v="0"/>
    <d v="2021-06-21T00:00:00"/>
    <n v="424.8"/>
  </r>
  <r>
    <x v="17"/>
    <x v="1"/>
    <d v="2021-06-21T00:00:00"/>
    <n v="272"/>
  </r>
  <r>
    <x v="9"/>
    <x v="0"/>
    <d v="2021-06-21T00:00:00"/>
    <n v="1277.2"/>
  </r>
  <r>
    <x v="22"/>
    <x v="4"/>
    <d v="2021-06-21T00:00:00"/>
    <n v="1872"/>
  </r>
  <r>
    <x v="0"/>
    <x v="0"/>
    <d v="2021-06-21T00:00:00"/>
    <n v="1828.4"/>
  </r>
  <r>
    <x v="11"/>
    <x v="0"/>
    <d v="2021-06-22T00:00:00"/>
    <n v="1491.2"/>
  </r>
  <r>
    <x v="9"/>
    <x v="0"/>
    <d v="2021-06-22T00:00:00"/>
    <n v="1254.8000000000002"/>
  </r>
  <r>
    <x v="10"/>
    <x v="0"/>
    <d v="2021-06-22T00:00:00"/>
    <n v="1218.4000000000001"/>
  </r>
  <r>
    <x v="2"/>
    <x v="1"/>
    <d v="2021-06-22T00:00:00"/>
    <n v="1117.6000000000001"/>
  </r>
  <r>
    <x v="5"/>
    <x v="0"/>
    <d v="2021-06-22T00:00:00"/>
    <n v="1107.2"/>
  </r>
  <r>
    <x v="3"/>
    <x v="1"/>
    <d v="2021-06-22T00:00:00"/>
    <n v="1049.6000000000001"/>
  </r>
  <r>
    <x v="6"/>
    <x v="2"/>
    <d v="2021-06-22T00:00:00"/>
    <n v="1040.4000000000001"/>
  </r>
  <r>
    <x v="8"/>
    <x v="2"/>
    <d v="2021-06-22T00:00:00"/>
    <n v="1027.6000000000001"/>
  </r>
  <r>
    <x v="15"/>
    <x v="0"/>
    <d v="2021-06-22T00:00:00"/>
    <n v="954"/>
  </r>
  <r>
    <x v="20"/>
    <x v="3"/>
    <d v="2021-06-22T00:00:00"/>
    <n v="917.2"/>
  </r>
  <r>
    <x v="13"/>
    <x v="0"/>
    <d v="2021-06-22T00:00:00"/>
    <n v="908.80000000000007"/>
  </r>
  <r>
    <x v="12"/>
    <x v="3"/>
    <d v="2021-06-22T00:00:00"/>
    <n v="840"/>
  </r>
  <r>
    <x v="23"/>
    <x v="3"/>
    <d v="2021-06-22T00:00:00"/>
    <n v="803.6"/>
  </r>
  <r>
    <x v="18"/>
    <x v="4"/>
    <d v="2021-06-22T00:00:00"/>
    <n v="780.40000000000009"/>
  </r>
  <r>
    <x v="7"/>
    <x v="1"/>
    <d v="2021-06-22T00:00:00"/>
    <n v="718.40000000000009"/>
  </r>
  <r>
    <x v="4"/>
    <x v="1"/>
    <d v="2021-06-22T00:00:00"/>
    <n v="704"/>
  </r>
  <r>
    <x v="1"/>
    <x v="0"/>
    <d v="2021-06-22T00:00:00"/>
    <n v="648.80000000000007"/>
  </r>
  <r>
    <x v="17"/>
    <x v="1"/>
    <d v="2021-06-22T00:00:00"/>
    <n v="588.4"/>
  </r>
  <r>
    <x v="16"/>
    <x v="1"/>
    <d v="2021-06-22T00:00:00"/>
    <n v="509.20000000000005"/>
  </r>
  <r>
    <x v="21"/>
    <x v="1"/>
    <d v="2021-06-22T00:00:00"/>
    <n v="452.40000000000003"/>
  </r>
  <r>
    <x v="19"/>
    <x v="2"/>
    <d v="2021-06-22T00:00:00"/>
    <n v="434.40000000000003"/>
  </r>
  <r>
    <x v="14"/>
    <x v="3"/>
    <d v="2021-06-22T00:00:00"/>
    <n v="390.8"/>
  </r>
  <r>
    <x v="22"/>
    <x v="4"/>
    <d v="2021-06-22T00:00:00"/>
    <n v="1777.2"/>
  </r>
  <r>
    <x v="0"/>
    <x v="0"/>
    <d v="2021-06-22T00:00:00"/>
    <n v="1766"/>
  </r>
  <r>
    <x v="22"/>
    <x v="4"/>
    <d v="2021-06-23T00:00:00"/>
    <n v="1599.6000000000001"/>
  </r>
  <r>
    <x v="3"/>
    <x v="1"/>
    <d v="2021-06-23T00:00:00"/>
    <n v="1450.8000000000002"/>
  </r>
  <r>
    <x v="5"/>
    <x v="0"/>
    <d v="2021-06-23T00:00:00"/>
    <n v="1132.4000000000001"/>
  </r>
  <r>
    <x v="11"/>
    <x v="0"/>
    <d v="2021-06-23T00:00:00"/>
    <n v="1127.2"/>
  </r>
  <r>
    <x v="8"/>
    <x v="2"/>
    <d v="2021-06-23T00:00:00"/>
    <n v="1124.4000000000001"/>
  </r>
  <r>
    <x v="6"/>
    <x v="2"/>
    <d v="2021-06-23T00:00:00"/>
    <n v="1071.2"/>
  </r>
  <r>
    <x v="9"/>
    <x v="0"/>
    <d v="2021-06-23T00:00:00"/>
    <n v="1012.8000000000001"/>
  </r>
  <r>
    <x v="2"/>
    <x v="1"/>
    <d v="2021-06-23T00:00:00"/>
    <n v="833.6"/>
  </r>
  <r>
    <x v="23"/>
    <x v="3"/>
    <d v="2021-06-23T00:00:00"/>
    <n v="798"/>
  </r>
  <r>
    <x v="18"/>
    <x v="4"/>
    <d v="2021-06-23T00:00:00"/>
    <n v="776.80000000000007"/>
  </r>
  <r>
    <x v="15"/>
    <x v="0"/>
    <d v="2021-06-23T00:00:00"/>
    <n v="634.40000000000009"/>
  </r>
  <r>
    <x v="16"/>
    <x v="1"/>
    <d v="2021-06-23T00:00:00"/>
    <n v="617.6"/>
  </r>
  <r>
    <x v="20"/>
    <x v="3"/>
    <d v="2021-06-23T00:00:00"/>
    <n v="565.6"/>
  </r>
  <r>
    <x v="12"/>
    <x v="3"/>
    <d v="2021-06-23T00:00:00"/>
    <n v="535.6"/>
  </r>
  <r>
    <x v="21"/>
    <x v="1"/>
    <d v="2021-06-23T00:00:00"/>
    <n v="531.6"/>
  </r>
  <r>
    <x v="13"/>
    <x v="0"/>
    <d v="2021-06-23T00:00:00"/>
    <n v="498.8"/>
  </r>
  <r>
    <x v="19"/>
    <x v="2"/>
    <d v="2021-06-23T00:00:00"/>
    <n v="481.20000000000005"/>
  </r>
  <r>
    <x v="4"/>
    <x v="1"/>
    <d v="2021-06-23T00:00:00"/>
    <n v="479.6"/>
  </r>
  <r>
    <x v="1"/>
    <x v="0"/>
    <d v="2021-06-23T00:00:00"/>
    <n v="471.6"/>
  </r>
  <r>
    <x v="7"/>
    <x v="1"/>
    <d v="2021-06-23T00:00:00"/>
    <n v="441.20000000000005"/>
  </r>
  <r>
    <x v="17"/>
    <x v="1"/>
    <d v="2021-06-23T00:00:00"/>
    <n v="321.60000000000002"/>
  </r>
  <r>
    <x v="14"/>
    <x v="3"/>
    <d v="2021-06-23T00:00:00"/>
    <n v="291.2"/>
  </r>
  <r>
    <x v="10"/>
    <x v="0"/>
    <d v="2021-06-23T00:00:00"/>
    <n v="1304.8000000000002"/>
  </r>
  <r>
    <x v="0"/>
    <x v="0"/>
    <d v="2021-06-23T00:00:00"/>
    <n v="1765.2"/>
  </r>
  <r>
    <x v="3"/>
    <x v="1"/>
    <d v="2021-06-24T00:00:00"/>
    <n v="1486"/>
  </r>
  <r>
    <x v="8"/>
    <x v="2"/>
    <d v="2021-06-24T00:00:00"/>
    <n v="1267.6000000000001"/>
  </r>
  <r>
    <x v="10"/>
    <x v="0"/>
    <d v="2021-06-24T00:00:00"/>
    <n v="1220.4000000000001"/>
  </r>
  <r>
    <x v="5"/>
    <x v="0"/>
    <d v="2021-06-24T00:00:00"/>
    <n v="1068"/>
  </r>
  <r>
    <x v="2"/>
    <x v="1"/>
    <d v="2021-06-24T00:00:00"/>
    <n v="1044.4000000000001"/>
  </r>
  <r>
    <x v="9"/>
    <x v="0"/>
    <d v="2021-06-24T00:00:00"/>
    <n v="1012"/>
  </r>
  <r>
    <x v="4"/>
    <x v="1"/>
    <d v="2021-06-24T00:00:00"/>
    <n v="965.2"/>
  </r>
  <r>
    <x v="18"/>
    <x v="4"/>
    <d v="2021-06-24T00:00:00"/>
    <n v="924.40000000000009"/>
  </r>
  <r>
    <x v="23"/>
    <x v="3"/>
    <d v="2021-06-24T00:00:00"/>
    <n v="846.80000000000007"/>
  </r>
  <r>
    <x v="12"/>
    <x v="3"/>
    <d v="2021-06-24T00:00:00"/>
    <n v="842.80000000000007"/>
  </r>
  <r>
    <x v="15"/>
    <x v="0"/>
    <d v="2021-06-24T00:00:00"/>
    <n v="837.6"/>
  </r>
  <r>
    <x v="7"/>
    <x v="1"/>
    <d v="2021-06-24T00:00:00"/>
    <n v="785.2"/>
  </r>
  <r>
    <x v="16"/>
    <x v="1"/>
    <d v="2021-06-24T00:00:00"/>
    <n v="728.80000000000007"/>
  </r>
  <r>
    <x v="21"/>
    <x v="1"/>
    <d v="2021-06-24T00:00:00"/>
    <n v="522"/>
  </r>
  <r>
    <x v="14"/>
    <x v="3"/>
    <d v="2021-06-24T00:00:00"/>
    <n v="509.6"/>
  </r>
  <r>
    <x v="19"/>
    <x v="2"/>
    <d v="2021-06-24T00:00:00"/>
    <n v="507.20000000000005"/>
  </r>
  <r>
    <x v="20"/>
    <x v="3"/>
    <d v="2021-06-24T00:00:00"/>
    <n v="485.20000000000005"/>
  </r>
  <r>
    <x v="13"/>
    <x v="0"/>
    <d v="2021-06-24T00:00:00"/>
    <n v="443.6"/>
  </r>
  <r>
    <x v="1"/>
    <x v="0"/>
    <d v="2021-06-24T00:00:00"/>
    <n v="387.6"/>
  </r>
  <r>
    <x v="17"/>
    <x v="1"/>
    <d v="2021-06-24T00:00:00"/>
    <n v="383.6"/>
  </r>
  <r>
    <x v="0"/>
    <x v="0"/>
    <d v="2021-06-24T00:00:00"/>
    <n v="1921.6000000000001"/>
  </r>
  <r>
    <x v="22"/>
    <x v="4"/>
    <d v="2021-06-24T00:00:00"/>
    <n v="1916.8000000000002"/>
  </r>
  <r>
    <x v="11"/>
    <x v="0"/>
    <d v="2021-06-24T00:00:00"/>
    <n v="1297.6000000000001"/>
  </r>
  <r>
    <x v="6"/>
    <x v="2"/>
    <d v="2021-06-24T00:00:00"/>
    <n v="1688.4"/>
  </r>
  <r>
    <x v="6"/>
    <x v="2"/>
    <d v="2021-06-25T00:00:00"/>
    <n v="1251.2"/>
  </r>
  <r>
    <x v="3"/>
    <x v="1"/>
    <d v="2021-06-25T00:00:00"/>
    <n v="1050.8"/>
  </r>
  <r>
    <x v="1"/>
    <x v="0"/>
    <d v="2021-06-25T00:00:00"/>
    <n v="874"/>
  </r>
  <r>
    <x v="8"/>
    <x v="2"/>
    <d v="2021-06-25T00:00:00"/>
    <n v="844.80000000000007"/>
  </r>
  <r>
    <x v="15"/>
    <x v="0"/>
    <d v="2021-06-25T00:00:00"/>
    <n v="822.80000000000007"/>
  </r>
  <r>
    <x v="21"/>
    <x v="1"/>
    <d v="2021-06-25T00:00:00"/>
    <n v="818"/>
  </r>
  <r>
    <x v="9"/>
    <x v="0"/>
    <d v="2021-06-25T00:00:00"/>
    <n v="796.40000000000009"/>
  </r>
  <r>
    <x v="10"/>
    <x v="0"/>
    <d v="2021-06-25T00:00:00"/>
    <n v="756.40000000000009"/>
  </r>
  <r>
    <x v="22"/>
    <x v="4"/>
    <d v="2021-06-25T00:00:00"/>
    <n v="724.40000000000009"/>
  </r>
  <r>
    <x v="23"/>
    <x v="3"/>
    <d v="2021-06-25T00:00:00"/>
    <n v="665.6"/>
  </r>
  <r>
    <x v="20"/>
    <x v="3"/>
    <d v="2021-06-25T00:00:00"/>
    <n v="536.4"/>
  </r>
  <r>
    <x v="18"/>
    <x v="4"/>
    <d v="2021-06-25T00:00:00"/>
    <n v="491.20000000000005"/>
  </r>
  <r>
    <x v="12"/>
    <x v="3"/>
    <d v="2021-06-25T00:00:00"/>
    <n v="490"/>
  </r>
  <r>
    <x v="19"/>
    <x v="2"/>
    <d v="2021-06-25T00:00:00"/>
    <n v="487.20000000000005"/>
  </r>
  <r>
    <x v="5"/>
    <x v="0"/>
    <d v="2021-06-25T00:00:00"/>
    <n v="467.20000000000005"/>
  </r>
  <r>
    <x v="4"/>
    <x v="1"/>
    <d v="2021-06-25T00:00:00"/>
    <n v="411.20000000000005"/>
  </r>
  <r>
    <x v="14"/>
    <x v="3"/>
    <d v="2021-06-25T00:00:00"/>
    <n v="386.8"/>
  </r>
  <r>
    <x v="11"/>
    <x v="0"/>
    <d v="2021-06-25T00:00:00"/>
    <n v="366.40000000000003"/>
  </r>
  <r>
    <x v="0"/>
    <x v="0"/>
    <d v="2021-06-25T00:00:00"/>
    <n v="361.6"/>
  </r>
  <r>
    <x v="16"/>
    <x v="1"/>
    <d v="2021-06-25T00:00:00"/>
    <n v="248.8"/>
  </r>
  <r>
    <x v="13"/>
    <x v="0"/>
    <d v="2021-06-25T00:00:00"/>
    <n v="237.60000000000002"/>
  </r>
  <r>
    <x v="17"/>
    <x v="1"/>
    <d v="2021-06-25T00:00:00"/>
    <n v="226.8"/>
  </r>
  <r>
    <x v="7"/>
    <x v="1"/>
    <d v="2021-06-25T00:00:00"/>
    <n v="152.80000000000001"/>
  </r>
  <r>
    <x v="2"/>
    <x v="1"/>
    <d v="2021-06-25T00:00:00"/>
    <n v="1306.8000000000002"/>
  </r>
  <r>
    <x v="3"/>
    <x v="1"/>
    <d v="2021-06-26T00:00:00"/>
    <n v="1452.4"/>
  </r>
  <r>
    <x v="22"/>
    <x v="4"/>
    <d v="2021-06-26T00:00:00"/>
    <n v="1268.4000000000001"/>
  </r>
  <r>
    <x v="11"/>
    <x v="0"/>
    <d v="2021-06-26T00:00:00"/>
    <n v="1224.8"/>
  </r>
  <r>
    <x v="8"/>
    <x v="2"/>
    <d v="2021-06-26T00:00:00"/>
    <n v="1028"/>
  </r>
  <r>
    <x v="6"/>
    <x v="2"/>
    <d v="2021-06-26T00:00:00"/>
    <n v="982.40000000000009"/>
  </r>
  <r>
    <x v="9"/>
    <x v="0"/>
    <d v="2021-06-26T00:00:00"/>
    <n v="975.2"/>
  </r>
  <r>
    <x v="0"/>
    <x v="0"/>
    <d v="2021-06-26T00:00:00"/>
    <n v="921.2"/>
  </r>
  <r>
    <x v="2"/>
    <x v="1"/>
    <d v="2021-06-26T00:00:00"/>
    <n v="890"/>
  </r>
  <r>
    <x v="1"/>
    <x v="0"/>
    <d v="2021-06-26T00:00:00"/>
    <n v="703.6"/>
  </r>
  <r>
    <x v="10"/>
    <x v="0"/>
    <d v="2021-06-26T00:00:00"/>
    <n v="700"/>
  </r>
  <r>
    <x v="23"/>
    <x v="3"/>
    <d v="2021-06-26T00:00:00"/>
    <n v="630.80000000000007"/>
  </r>
  <r>
    <x v="12"/>
    <x v="3"/>
    <d v="2021-06-26T00:00:00"/>
    <n v="553.6"/>
  </r>
  <r>
    <x v="21"/>
    <x v="1"/>
    <d v="2021-06-26T00:00:00"/>
    <n v="524.4"/>
  </r>
  <r>
    <x v="5"/>
    <x v="0"/>
    <d v="2021-06-26T00:00:00"/>
    <n v="513.6"/>
  </r>
  <r>
    <x v="14"/>
    <x v="3"/>
    <d v="2021-06-26T00:00:00"/>
    <n v="492.8"/>
  </r>
  <r>
    <x v="18"/>
    <x v="4"/>
    <d v="2021-06-26T00:00:00"/>
    <n v="476.8"/>
  </r>
  <r>
    <x v="4"/>
    <x v="1"/>
    <d v="2021-06-26T00:00:00"/>
    <n v="474.40000000000003"/>
  </r>
  <r>
    <x v="15"/>
    <x v="0"/>
    <d v="2021-06-26T00:00:00"/>
    <n v="456"/>
  </r>
  <r>
    <x v="20"/>
    <x v="3"/>
    <d v="2021-06-26T00:00:00"/>
    <n v="418.40000000000003"/>
  </r>
  <r>
    <x v="7"/>
    <x v="1"/>
    <d v="2021-06-26T00:00:00"/>
    <n v="370"/>
  </r>
  <r>
    <x v="16"/>
    <x v="1"/>
    <d v="2021-06-26T00:00:00"/>
    <n v="363.6"/>
  </r>
  <r>
    <x v="17"/>
    <x v="1"/>
    <d v="2021-06-26T00:00:00"/>
    <n v="345.6"/>
  </r>
  <r>
    <x v="19"/>
    <x v="2"/>
    <d v="2021-06-26T00:00:00"/>
    <n v="310.8"/>
  </r>
  <r>
    <x v="13"/>
    <x v="0"/>
    <d v="2021-06-26T00:00:00"/>
    <n v="303.2"/>
  </r>
  <r>
    <x v="6"/>
    <x v="2"/>
    <d v="2021-06-27T00:00:00"/>
    <n v="1621.2"/>
  </r>
  <r>
    <x v="0"/>
    <x v="0"/>
    <d v="2021-06-27T00:00:00"/>
    <n v="1572.8000000000002"/>
  </r>
  <r>
    <x v="10"/>
    <x v="0"/>
    <d v="2021-06-27T00:00:00"/>
    <n v="1373.6000000000001"/>
  </r>
  <r>
    <x v="9"/>
    <x v="0"/>
    <d v="2021-06-27T00:00:00"/>
    <n v="1178.4000000000001"/>
  </r>
  <r>
    <x v="5"/>
    <x v="0"/>
    <d v="2021-06-27T00:00:00"/>
    <n v="1116"/>
  </r>
  <r>
    <x v="23"/>
    <x v="3"/>
    <d v="2021-06-27T00:00:00"/>
    <n v="1038.4000000000001"/>
  </r>
  <r>
    <x v="18"/>
    <x v="4"/>
    <d v="2021-06-27T00:00:00"/>
    <n v="1018.8000000000001"/>
  </r>
  <r>
    <x v="3"/>
    <x v="1"/>
    <d v="2021-06-27T00:00:00"/>
    <n v="990"/>
  </r>
  <r>
    <x v="15"/>
    <x v="0"/>
    <d v="2021-06-27T00:00:00"/>
    <n v="958.80000000000007"/>
  </r>
  <r>
    <x v="20"/>
    <x v="3"/>
    <d v="2021-06-27T00:00:00"/>
    <n v="944.40000000000009"/>
  </r>
  <r>
    <x v="1"/>
    <x v="0"/>
    <d v="2021-06-27T00:00:00"/>
    <n v="910"/>
  </r>
  <r>
    <x v="7"/>
    <x v="1"/>
    <d v="2021-06-27T00:00:00"/>
    <n v="808.40000000000009"/>
  </r>
  <r>
    <x v="16"/>
    <x v="1"/>
    <d v="2021-06-27T00:00:00"/>
    <n v="781.6"/>
  </r>
  <r>
    <x v="13"/>
    <x v="0"/>
    <d v="2021-06-27T00:00:00"/>
    <n v="639.6"/>
  </r>
  <r>
    <x v="4"/>
    <x v="1"/>
    <d v="2021-06-27T00:00:00"/>
    <n v="580.80000000000007"/>
  </r>
  <r>
    <x v="12"/>
    <x v="3"/>
    <d v="2021-06-27T00:00:00"/>
    <n v="501.6"/>
  </r>
  <r>
    <x v="14"/>
    <x v="3"/>
    <d v="2021-06-27T00:00:00"/>
    <n v="415.6"/>
  </r>
  <r>
    <x v="21"/>
    <x v="1"/>
    <d v="2021-06-27T00:00:00"/>
    <n v="405.20000000000005"/>
  </r>
  <r>
    <x v="19"/>
    <x v="2"/>
    <d v="2021-06-27T00:00:00"/>
    <n v="352.8"/>
  </r>
  <r>
    <x v="17"/>
    <x v="1"/>
    <d v="2021-06-27T00:00:00"/>
    <n v="312"/>
  </r>
  <r>
    <x v="8"/>
    <x v="2"/>
    <d v="2021-06-27T00:00:00"/>
    <n v="1337.6000000000001"/>
  </r>
  <r>
    <x v="2"/>
    <x v="1"/>
    <d v="2021-06-27T00:00:00"/>
    <n v="1333.2"/>
  </r>
  <r>
    <x v="22"/>
    <x v="4"/>
    <d v="2021-06-27T00:00:00"/>
    <n v="1871.6000000000001"/>
  </r>
  <r>
    <x v="11"/>
    <x v="0"/>
    <d v="2021-06-27T00:00:00"/>
    <n v="1811.2"/>
  </r>
  <r>
    <x v="10"/>
    <x v="0"/>
    <d v="2021-06-28T00:00:00"/>
    <n v="1622"/>
  </r>
  <r>
    <x v="22"/>
    <x v="4"/>
    <d v="2021-06-28T00:00:00"/>
    <n v="1556"/>
  </r>
  <r>
    <x v="0"/>
    <x v="0"/>
    <d v="2021-06-28T00:00:00"/>
    <n v="1505.6000000000001"/>
  </r>
  <r>
    <x v="18"/>
    <x v="4"/>
    <d v="2021-06-28T00:00:00"/>
    <n v="1232"/>
  </r>
  <r>
    <x v="3"/>
    <x v="1"/>
    <d v="2021-06-28T00:00:00"/>
    <n v="1171.2"/>
  </r>
  <r>
    <x v="11"/>
    <x v="0"/>
    <d v="2021-06-28T00:00:00"/>
    <n v="1128"/>
  </r>
  <r>
    <x v="9"/>
    <x v="0"/>
    <d v="2021-06-28T00:00:00"/>
    <n v="1099.6000000000001"/>
  </r>
  <r>
    <x v="5"/>
    <x v="0"/>
    <d v="2021-06-28T00:00:00"/>
    <n v="1076.8"/>
  </r>
  <r>
    <x v="15"/>
    <x v="0"/>
    <d v="2021-06-28T00:00:00"/>
    <n v="1051.2"/>
  </r>
  <r>
    <x v="8"/>
    <x v="2"/>
    <d v="2021-06-28T00:00:00"/>
    <n v="905.2"/>
  </r>
  <r>
    <x v="6"/>
    <x v="2"/>
    <d v="2021-06-28T00:00:00"/>
    <n v="882.80000000000007"/>
  </r>
  <r>
    <x v="2"/>
    <x v="1"/>
    <d v="2021-06-28T00:00:00"/>
    <n v="814.80000000000007"/>
  </r>
  <r>
    <x v="7"/>
    <x v="1"/>
    <d v="2021-06-28T00:00:00"/>
    <n v="782.80000000000007"/>
  </r>
  <r>
    <x v="16"/>
    <x v="1"/>
    <d v="2021-06-28T00:00:00"/>
    <n v="765.6"/>
  </r>
  <r>
    <x v="1"/>
    <x v="0"/>
    <d v="2021-06-28T00:00:00"/>
    <n v="698.40000000000009"/>
  </r>
  <r>
    <x v="23"/>
    <x v="3"/>
    <d v="2021-06-28T00:00:00"/>
    <n v="657.2"/>
  </r>
  <r>
    <x v="12"/>
    <x v="3"/>
    <d v="2021-06-28T00:00:00"/>
    <n v="604"/>
  </r>
  <r>
    <x v="4"/>
    <x v="1"/>
    <d v="2021-06-28T00:00:00"/>
    <n v="580"/>
  </r>
  <r>
    <x v="21"/>
    <x v="1"/>
    <d v="2021-06-28T00:00:00"/>
    <n v="555.20000000000005"/>
  </r>
  <r>
    <x v="20"/>
    <x v="3"/>
    <d v="2021-06-28T00:00:00"/>
    <n v="534.80000000000007"/>
  </r>
  <r>
    <x v="13"/>
    <x v="0"/>
    <d v="2021-06-28T00:00:00"/>
    <n v="534.4"/>
  </r>
  <r>
    <x v="17"/>
    <x v="1"/>
    <d v="2021-06-28T00:00:00"/>
    <n v="334.8"/>
  </r>
  <r>
    <x v="14"/>
    <x v="3"/>
    <d v="2021-06-28T00:00:00"/>
    <n v="301.2"/>
  </r>
  <r>
    <x v="19"/>
    <x v="2"/>
    <d v="2021-06-28T00:00:00"/>
    <n v="290.8"/>
  </r>
  <r>
    <x v="24"/>
    <x v="2"/>
    <d v="2021-06-28T00:00:00"/>
    <n v="280"/>
  </r>
  <r>
    <x v="25"/>
    <x v="0"/>
    <d v="2021-06-28T00:00:00"/>
    <n v="49.2"/>
  </r>
  <r>
    <x v="10"/>
    <x v="0"/>
    <d v="2021-06-29T00:00:00"/>
    <n v="1518.8000000000002"/>
  </r>
  <r>
    <x v="18"/>
    <x v="4"/>
    <d v="2021-06-29T00:00:00"/>
    <n v="1212"/>
  </r>
  <r>
    <x v="16"/>
    <x v="1"/>
    <d v="2021-06-29T00:00:00"/>
    <n v="1072.4000000000001"/>
  </r>
  <r>
    <x v="3"/>
    <x v="1"/>
    <d v="2021-06-29T00:00:00"/>
    <n v="1015.6"/>
  </r>
  <r>
    <x v="9"/>
    <x v="0"/>
    <d v="2021-06-29T00:00:00"/>
    <n v="1007.2"/>
  </r>
  <r>
    <x v="2"/>
    <x v="1"/>
    <d v="2021-06-29T00:00:00"/>
    <n v="944.80000000000007"/>
  </r>
  <r>
    <x v="5"/>
    <x v="0"/>
    <d v="2021-06-29T00:00:00"/>
    <n v="938.40000000000009"/>
  </r>
  <r>
    <x v="1"/>
    <x v="0"/>
    <d v="2021-06-29T00:00:00"/>
    <n v="837.6"/>
  </r>
  <r>
    <x v="23"/>
    <x v="3"/>
    <d v="2021-06-29T00:00:00"/>
    <n v="790.40000000000009"/>
  </r>
  <r>
    <x v="8"/>
    <x v="2"/>
    <d v="2021-06-29T00:00:00"/>
    <n v="675.2"/>
  </r>
  <r>
    <x v="15"/>
    <x v="0"/>
    <d v="2021-06-29T00:00:00"/>
    <n v="645.6"/>
  </r>
  <r>
    <x v="4"/>
    <x v="1"/>
    <d v="2021-06-29T00:00:00"/>
    <n v="626"/>
  </r>
  <r>
    <x v="13"/>
    <x v="0"/>
    <d v="2021-06-29T00:00:00"/>
    <n v="524.80000000000007"/>
  </r>
  <r>
    <x v="12"/>
    <x v="3"/>
    <d v="2021-06-29T00:00:00"/>
    <n v="516.4"/>
  </r>
  <r>
    <x v="17"/>
    <x v="1"/>
    <d v="2021-06-29T00:00:00"/>
    <n v="505.6"/>
  </r>
  <r>
    <x v="20"/>
    <x v="3"/>
    <d v="2021-06-29T00:00:00"/>
    <n v="472.40000000000003"/>
  </r>
  <r>
    <x v="7"/>
    <x v="1"/>
    <d v="2021-06-29T00:00:00"/>
    <n v="426"/>
  </r>
  <r>
    <x v="24"/>
    <x v="2"/>
    <d v="2021-06-29T00:00:00"/>
    <n v="423.20000000000005"/>
  </r>
  <r>
    <x v="14"/>
    <x v="3"/>
    <d v="2021-06-29T00:00:00"/>
    <n v="382.40000000000003"/>
  </r>
  <r>
    <x v="21"/>
    <x v="1"/>
    <d v="2021-06-29T00:00:00"/>
    <n v="296.8"/>
  </r>
  <r>
    <x v="19"/>
    <x v="2"/>
    <d v="2021-06-29T00:00:00"/>
    <n v="217.20000000000002"/>
  </r>
  <r>
    <x v="25"/>
    <x v="0"/>
    <d v="2021-06-29T00:00:00"/>
    <n v="215.60000000000002"/>
  </r>
  <r>
    <x v="6"/>
    <x v="2"/>
    <d v="2021-06-29T00:00:00"/>
    <n v="2146.4"/>
  </r>
  <r>
    <x v="11"/>
    <x v="0"/>
    <d v="2021-06-29T00:00:00"/>
    <n v="2115.6"/>
  </r>
  <r>
    <x v="22"/>
    <x v="4"/>
    <d v="2021-06-29T00:00:00"/>
    <n v="1892.8000000000002"/>
  </r>
  <r>
    <x v="0"/>
    <x v="0"/>
    <d v="2021-06-29T00:00:00"/>
    <n v="1723.2"/>
  </r>
  <r>
    <x v="10"/>
    <x v="0"/>
    <d v="2021-06-30T00:00:00"/>
    <n v="1266"/>
  </r>
  <r>
    <x v="2"/>
    <x v="1"/>
    <d v="2021-06-30T00:00:00"/>
    <n v="1209.6000000000001"/>
  </r>
  <r>
    <x v="18"/>
    <x v="4"/>
    <d v="2021-06-30T00:00:00"/>
    <n v="1140"/>
  </r>
  <r>
    <x v="9"/>
    <x v="0"/>
    <d v="2021-06-30T00:00:00"/>
    <n v="1056"/>
  </r>
  <r>
    <x v="23"/>
    <x v="3"/>
    <d v="2021-06-30T00:00:00"/>
    <n v="959.6"/>
  </r>
  <r>
    <x v="5"/>
    <x v="0"/>
    <d v="2021-06-30T00:00:00"/>
    <n v="876.40000000000009"/>
  </r>
  <r>
    <x v="8"/>
    <x v="2"/>
    <d v="2021-06-30T00:00:00"/>
    <n v="870"/>
  </r>
  <r>
    <x v="16"/>
    <x v="1"/>
    <d v="2021-06-30T00:00:00"/>
    <n v="807.2"/>
  </r>
  <r>
    <x v="6"/>
    <x v="2"/>
    <d v="2021-06-30T00:00:00"/>
    <n v="759.2"/>
  </r>
  <r>
    <x v="3"/>
    <x v="1"/>
    <d v="2021-06-30T00:00:00"/>
    <n v="733.6"/>
  </r>
  <r>
    <x v="12"/>
    <x v="3"/>
    <d v="2021-06-30T00:00:00"/>
    <n v="724.80000000000007"/>
  </r>
  <r>
    <x v="21"/>
    <x v="1"/>
    <d v="2021-06-30T00:00:00"/>
    <n v="706"/>
  </r>
  <r>
    <x v="15"/>
    <x v="0"/>
    <d v="2021-06-30T00:00:00"/>
    <n v="648"/>
  </r>
  <r>
    <x v="4"/>
    <x v="1"/>
    <d v="2021-06-30T00:00:00"/>
    <n v="609.20000000000005"/>
  </r>
  <r>
    <x v="1"/>
    <x v="0"/>
    <d v="2021-06-30T00:00:00"/>
    <n v="560.4"/>
  </r>
  <r>
    <x v="7"/>
    <x v="1"/>
    <d v="2021-06-30T00:00:00"/>
    <n v="560.4"/>
  </r>
  <r>
    <x v="17"/>
    <x v="1"/>
    <d v="2021-06-30T00:00:00"/>
    <n v="480.40000000000003"/>
  </r>
  <r>
    <x v="13"/>
    <x v="0"/>
    <d v="2021-06-30T00:00:00"/>
    <n v="449.20000000000005"/>
  </r>
  <r>
    <x v="20"/>
    <x v="3"/>
    <d v="2021-06-30T00:00:00"/>
    <n v="434.40000000000003"/>
  </r>
  <r>
    <x v="19"/>
    <x v="2"/>
    <d v="2021-06-30T00:00:00"/>
    <n v="378.8"/>
  </r>
  <r>
    <x v="24"/>
    <x v="2"/>
    <d v="2021-06-30T00:00:00"/>
    <n v="313.20000000000005"/>
  </r>
  <r>
    <x v="25"/>
    <x v="0"/>
    <d v="2021-06-30T00:00:00"/>
    <n v="262.40000000000003"/>
  </r>
  <r>
    <x v="14"/>
    <x v="3"/>
    <d v="2021-06-30T00:00:00"/>
    <n v="198"/>
  </r>
  <r>
    <x v="0"/>
    <x v="0"/>
    <d v="2021-06-30T00:00:00"/>
    <n v="1321.2"/>
  </r>
  <r>
    <x v="11"/>
    <x v="0"/>
    <d v="2021-06-30T00:00:00"/>
    <n v="1308.8000000000002"/>
  </r>
  <r>
    <x v="22"/>
    <x v="4"/>
    <d v="2021-06-30T00:00:00"/>
    <n v="1756.8000000000002"/>
  </r>
  <r>
    <x v="22"/>
    <x v="4"/>
    <d v="2021-07-01T00:00:00"/>
    <n v="1526"/>
  </r>
  <r>
    <x v="8"/>
    <x v="2"/>
    <d v="2021-07-01T00:00:00"/>
    <n v="1254.8000000000002"/>
  </r>
  <r>
    <x v="6"/>
    <x v="2"/>
    <d v="2021-07-01T00:00:00"/>
    <n v="1218.4000000000001"/>
  </r>
  <r>
    <x v="1"/>
    <x v="0"/>
    <d v="2021-07-01T00:00:00"/>
    <n v="1157.2"/>
  </r>
  <r>
    <x v="3"/>
    <x v="1"/>
    <d v="2021-07-01T00:00:00"/>
    <n v="1039.2"/>
  </r>
  <r>
    <x v="9"/>
    <x v="0"/>
    <d v="2021-07-01T00:00:00"/>
    <n v="1015.6"/>
  </r>
  <r>
    <x v="10"/>
    <x v="0"/>
    <d v="2021-07-01T00:00:00"/>
    <n v="975.2"/>
  </r>
  <r>
    <x v="11"/>
    <x v="0"/>
    <d v="2021-07-01T00:00:00"/>
    <n v="809.2"/>
  </r>
  <r>
    <x v="4"/>
    <x v="1"/>
    <d v="2021-07-01T00:00:00"/>
    <n v="774"/>
  </r>
  <r>
    <x v="21"/>
    <x v="1"/>
    <d v="2021-07-01T00:00:00"/>
    <n v="770"/>
  </r>
  <r>
    <x v="12"/>
    <x v="3"/>
    <d v="2021-07-01T00:00:00"/>
    <n v="724.80000000000007"/>
  </r>
  <r>
    <x v="7"/>
    <x v="1"/>
    <d v="2021-07-01T00:00:00"/>
    <n v="604.80000000000007"/>
  </r>
  <r>
    <x v="16"/>
    <x v="1"/>
    <d v="2021-07-01T00:00:00"/>
    <n v="558.4"/>
  </r>
  <r>
    <x v="23"/>
    <x v="3"/>
    <d v="2021-07-01T00:00:00"/>
    <n v="540"/>
  </r>
  <r>
    <x v="5"/>
    <x v="0"/>
    <d v="2021-07-01T00:00:00"/>
    <n v="537.20000000000005"/>
  </r>
  <r>
    <x v="15"/>
    <x v="0"/>
    <d v="2021-07-01T00:00:00"/>
    <n v="533.20000000000005"/>
  </r>
  <r>
    <x v="2"/>
    <x v="1"/>
    <d v="2021-07-01T00:00:00"/>
    <n v="520"/>
  </r>
  <r>
    <x v="20"/>
    <x v="3"/>
    <d v="2021-07-01T00:00:00"/>
    <n v="490.40000000000003"/>
  </r>
  <r>
    <x v="18"/>
    <x v="4"/>
    <d v="2021-07-01T00:00:00"/>
    <n v="487.20000000000005"/>
  </r>
  <r>
    <x v="24"/>
    <x v="2"/>
    <d v="2021-07-01T00:00:00"/>
    <n v="484.40000000000003"/>
  </r>
  <r>
    <x v="0"/>
    <x v="0"/>
    <d v="2021-07-01T00:00:00"/>
    <n v="385.20000000000005"/>
  </r>
  <r>
    <x v="19"/>
    <x v="2"/>
    <d v="2021-07-01T00:00:00"/>
    <n v="367.6"/>
  </r>
  <r>
    <x v="14"/>
    <x v="3"/>
    <d v="2021-07-01T00:00:00"/>
    <n v="291.2"/>
  </r>
  <r>
    <x v="13"/>
    <x v="0"/>
    <d v="2021-07-01T00:00:00"/>
    <n v="228.8"/>
  </r>
  <r>
    <x v="17"/>
    <x v="1"/>
    <d v="2021-07-01T00:00:00"/>
    <n v="225.60000000000002"/>
  </r>
  <r>
    <x v="22"/>
    <x v="4"/>
    <d v="2021-07-02T00:00:00"/>
    <n v="1383.6000000000001"/>
  </r>
  <r>
    <x v="3"/>
    <x v="1"/>
    <d v="2021-07-02T00:00:00"/>
    <n v="1192.8"/>
  </r>
  <r>
    <x v="1"/>
    <x v="0"/>
    <d v="2021-07-02T00:00:00"/>
    <n v="1112.8"/>
  </r>
  <r>
    <x v="6"/>
    <x v="2"/>
    <d v="2021-07-02T00:00:00"/>
    <n v="935.2"/>
  </r>
  <r>
    <x v="11"/>
    <x v="0"/>
    <d v="2021-07-02T00:00:00"/>
    <n v="864.40000000000009"/>
  </r>
  <r>
    <x v="2"/>
    <x v="1"/>
    <d v="2021-07-02T00:00:00"/>
    <n v="752.80000000000007"/>
  </r>
  <r>
    <x v="9"/>
    <x v="0"/>
    <d v="2021-07-02T00:00:00"/>
    <n v="658.40000000000009"/>
  </r>
  <r>
    <x v="0"/>
    <x v="0"/>
    <d v="2021-07-02T00:00:00"/>
    <n v="623.6"/>
  </r>
  <r>
    <x v="8"/>
    <x v="2"/>
    <d v="2021-07-02T00:00:00"/>
    <n v="584"/>
  </r>
  <r>
    <x v="23"/>
    <x v="3"/>
    <d v="2021-07-02T00:00:00"/>
    <n v="541.6"/>
  </r>
  <r>
    <x v="12"/>
    <x v="3"/>
    <d v="2021-07-02T00:00:00"/>
    <n v="539.6"/>
  </r>
  <r>
    <x v="18"/>
    <x v="4"/>
    <d v="2021-07-02T00:00:00"/>
    <n v="474"/>
  </r>
  <r>
    <x v="14"/>
    <x v="3"/>
    <d v="2021-07-02T00:00:00"/>
    <n v="471.20000000000005"/>
  </r>
  <r>
    <x v="15"/>
    <x v="0"/>
    <d v="2021-07-02T00:00:00"/>
    <n v="468.40000000000003"/>
  </r>
  <r>
    <x v="5"/>
    <x v="0"/>
    <d v="2021-07-02T00:00:00"/>
    <n v="461.20000000000005"/>
  </r>
  <r>
    <x v="21"/>
    <x v="1"/>
    <d v="2021-07-02T00:00:00"/>
    <n v="436"/>
  </r>
  <r>
    <x v="16"/>
    <x v="1"/>
    <d v="2021-07-02T00:00:00"/>
    <n v="424"/>
  </r>
  <r>
    <x v="4"/>
    <x v="1"/>
    <d v="2021-07-02T00:00:00"/>
    <n v="405.6"/>
  </r>
  <r>
    <x v="24"/>
    <x v="2"/>
    <d v="2021-07-02T00:00:00"/>
    <n v="392.40000000000003"/>
  </r>
  <r>
    <x v="10"/>
    <x v="0"/>
    <d v="2021-07-02T00:00:00"/>
    <n v="382.8"/>
  </r>
  <r>
    <x v="7"/>
    <x v="1"/>
    <d v="2021-07-02T00:00:00"/>
    <n v="288.8"/>
  </r>
  <r>
    <x v="19"/>
    <x v="2"/>
    <d v="2021-07-02T00:00:00"/>
    <n v="283.2"/>
  </r>
  <r>
    <x v="13"/>
    <x v="0"/>
    <d v="2021-07-02T00:00:00"/>
    <n v="179.60000000000002"/>
  </r>
  <r>
    <x v="17"/>
    <x v="1"/>
    <d v="2021-07-02T00:00:00"/>
    <n v="159.20000000000002"/>
  </r>
  <r>
    <x v="20"/>
    <x v="3"/>
    <d v="2021-07-02T00:00:00"/>
    <n v="94.800000000000011"/>
  </r>
  <r>
    <x v="2"/>
    <x v="1"/>
    <d v="2021-07-03T00:00:00"/>
    <n v="1426.4"/>
  </r>
  <r>
    <x v="1"/>
    <x v="0"/>
    <d v="2021-07-03T00:00:00"/>
    <n v="1124"/>
  </r>
  <r>
    <x v="11"/>
    <x v="0"/>
    <d v="2021-07-03T00:00:00"/>
    <n v="918.40000000000009"/>
  </r>
  <r>
    <x v="6"/>
    <x v="2"/>
    <d v="2021-07-03T00:00:00"/>
    <n v="859.2"/>
  </r>
  <r>
    <x v="22"/>
    <x v="4"/>
    <d v="2021-07-03T00:00:00"/>
    <n v="818.80000000000007"/>
  </r>
  <r>
    <x v="0"/>
    <x v="0"/>
    <d v="2021-07-03T00:00:00"/>
    <n v="794.80000000000007"/>
  </r>
  <r>
    <x v="20"/>
    <x v="3"/>
    <d v="2021-07-03T00:00:00"/>
    <n v="728.40000000000009"/>
  </r>
  <r>
    <x v="3"/>
    <x v="1"/>
    <d v="2021-07-03T00:00:00"/>
    <n v="650.80000000000007"/>
  </r>
  <r>
    <x v="19"/>
    <x v="2"/>
    <d v="2021-07-03T00:00:00"/>
    <n v="601.20000000000005"/>
  </r>
  <r>
    <x v="23"/>
    <x v="3"/>
    <d v="2021-07-03T00:00:00"/>
    <n v="548.4"/>
  </r>
  <r>
    <x v="10"/>
    <x v="0"/>
    <d v="2021-07-03T00:00:00"/>
    <n v="515.20000000000005"/>
  </r>
  <r>
    <x v="15"/>
    <x v="0"/>
    <d v="2021-07-03T00:00:00"/>
    <n v="496"/>
  </r>
  <r>
    <x v="18"/>
    <x v="4"/>
    <d v="2021-07-03T00:00:00"/>
    <n v="490.8"/>
  </r>
  <r>
    <x v="24"/>
    <x v="2"/>
    <d v="2021-07-03T00:00:00"/>
    <n v="488.8"/>
  </r>
  <r>
    <x v="8"/>
    <x v="2"/>
    <d v="2021-07-03T00:00:00"/>
    <n v="483.6"/>
  </r>
  <r>
    <x v="9"/>
    <x v="0"/>
    <d v="2021-07-03T00:00:00"/>
    <n v="463.6"/>
  </r>
  <r>
    <x v="21"/>
    <x v="1"/>
    <d v="2021-07-03T00:00:00"/>
    <n v="458"/>
  </r>
  <r>
    <x v="16"/>
    <x v="1"/>
    <d v="2021-07-03T00:00:00"/>
    <n v="457.6"/>
  </r>
  <r>
    <x v="7"/>
    <x v="1"/>
    <d v="2021-07-03T00:00:00"/>
    <n v="342.40000000000003"/>
  </r>
  <r>
    <x v="13"/>
    <x v="0"/>
    <d v="2021-07-03T00:00:00"/>
    <n v="305.2"/>
  </r>
  <r>
    <x v="12"/>
    <x v="3"/>
    <d v="2021-07-03T00:00:00"/>
    <n v="254"/>
  </r>
  <r>
    <x v="4"/>
    <x v="1"/>
    <d v="2021-07-03T00:00:00"/>
    <n v="237.20000000000002"/>
  </r>
  <r>
    <x v="17"/>
    <x v="1"/>
    <d v="2021-07-03T00:00:00"/>
    <n v="233.60000000000002"/>
  </r>
  <r>
    <x v="14"/>
    <x v="3"/>
    <d v="2021-07-03T00:00:00"/>
    <n v="54"/>
  </r>
  <r>
    <x v="11"/>
    <x v="0"/>
    <d v="2021-07-04T00:00:00"/>
    <n v="1386.8000000000002"/>
  </r>
  <r>
    <x v="2"/>
    <x v="1"/>
    <d v="2021-07-04T00:00:00"/>
    <n v="1258"/>
  </r>
  <r>
    <x v="10"/>
    <x v="0"/>
    <d v="2021-07-04T00:00:00"/>
    <n v="1255.2"/>
  </r>
  <r>
    <x v="18"/>
    <x v="4"/>
    <d v="2021-07-04T00:00:00"/>
    <n v="1216"/>
  </r>
  <r>
    <x v="9"/>
    <x v="0"/>
    <d v="2021-07-04T00:00:00"/>
    <n v="1118"/>
  </r>
  <r>
    <x v="0"/>
    <x v="0"/>
    <d v="2021-07-04T00:00:00"/>
    <n v="1045.2"/>
  </r>
  <r>
    <x v="16"/>
    <x v="1"/>
    <d v="2021-07-04T00:00:00"/>
    <n v="960"/>
  </r>
  <r>
    <x v="6"/>
    <x v="2"/>
    <d v="2021-07-04T00:00:00"/>
    <n v="947.6"/>
  </r>
  <r>
    <x v="23"/>
    <x v="3"/>
    <d v="2021-07-04T00:00:00"/>
    <n v="942"/>
  </r>
  <r>
    <x v="4"/>
    <x v="1"/>
    <d v="2021-07-04T00:00:00"/>
    <n v="838"/>
  </r>
  <r>
    <x v="8"/>
    <x v="2"/>
    <d v="2021-07-04T00:00:00"/>
    <n v="824"/>
  </r>
  <r>
    <x v="15"/>
    <x v="0"/>
    <d v="2021-07-04T00:00:00"/>
    <n v="782.80000000000007"/>
  </r>
  <r>
    <x v="7"/>
    <x v="1"/>
    <d v="2021-07-04T00:00:00"/>
    <n v="718"/>
  </r>
  <r>
    <x v="5"/>
    <x v="0"/>
    <d v="2021-07-04T00:00:00"/>
    <n v="708.80000000000007"/>
  </r>
  <r>
    <x v="20"/>
    <x v="3"/>
    <d v="2021-07-04T00:00:00"/>
    <n v="547.20000000000005"/>
  </r>
  <r>
    <x v="24"/>
    <x v="2"/>
    <d v="2021-07-04T00:00:00"/>
    <n v="475.6"/>
  </r>
  <r>
    <x v="3"/>
    <x v="1"/>
    <d v="2021-07-04T00:00:00"/>
    <n v="400.8"/>
  </r>
  <r>
    <x v="12"/>
    <x v="3"/>
    <d v="2021-07-04T00:00:00"/>
    <n v="389.6"/>
  </r>
  <r>
    <x v="17"/>
    <x v="1"/>
    <d v="2021-07-04T00:00:00"/>
    <n v="385.20000000000005"/>
  </r>
  <r>
    <x v="21"/>
    <x v="1"/>
    <d v="2021-07-04T00:00:00"/>
    <n v="354.8"/>
  </r>
  <r>
    <x v="25"/>
    <x v="0"/>
    <d v="2021-07-04T00:00:00"/>
    <n v="352.8"/>
  </r>
  <r>
    <x v="13"/>
    <x v="0"/>
    <d v="2021-07-04T00:00:00"/>
    <n v="347.20000000000005"/>
  </r>
  <r>
    <x v="14"/>
    <x v="3"/>
    <d v="2021-07-04T00:00:00"/>
    <n v="291.2"/>
  </r>
  <r>
    <x v="19"/>
    <x v="2"/>
    <d v="2021-07-04T00:00:00"/>
    <n v="164.8"/>
  </r>
  <r>
    <x v="1"/>
    <x v="0"/>
    <d v="2021-07-04T00:00:00"/>
    <n v="1344"/>
  </r>
  <r>
    <x v="22"/>
    <x v="4"/>
    <d v="2021-07-04T00:00:00"/>
    <n v="1701.2"/>
  </r>
  <r>
    <x v="0"/>
    <x v="0"/>
    <d v="2021-07-05T00:00:00"/>
    <n v="1375.6000000000001"/>
  </r>
  <r>
    <x v="2"/>
    <x v="1"/>
    <d v="2021-07-05T00:00:00"/>
    <n v="1345.6000000000001"/>
  </r>
  <r>
    <x v="11"/>
    <x v="0"/>
    <d v="2021-07-05T00:00:00"/>
    <n v="1217.6000000000001"/>
  </r>
  <r>
    <x v="1"/>
    <x v="0"/>
    <d v="2021-07-05T00:00:00"/>
    <n v="1190"/>
  </r>
  <r>
    <x v="23"/>
    <x v="3"/>
    <d v="2021-07-05T00:00:00"/>
    <n v="1187.6000000000001"/>
  </r>
  <r>
    <x v="9"/>
    <x v="0"/>
    <d v="2021-07-05T00:00:00"/>
    <n v="1080"/>
  </r>
  <r>
    <x v="16"/>
    <x v="1"/>
    <d v="2021-07-05T00:00:00"/>
    <n v="1013.2"/>
  </r>
  <r>
    <x v="18"/>
    <x v="4"/>
    <d v="2021-07-05T00:00:00"/>
    <n v="993.2"/>
  </r>
  <r>
    <x v="8"/>
    <x v="2"/>
    <d v="2021-07-05T00:00:00"/>
    <n v="969.2"/>
  </r>
  <r>
    <x v="4"/>
    <x v="1"/>
    <d v="2021-07-05T00:00:00"/>
    <n v="944.80000000000007"/>
  </r>
  <r>
    <x v="7"/>
    <x v="1"/>
    <d v="2021-07-05T00:00:00"/>
    <n v="883.2"/>
  </r>
  <r>
    <x v="6"/>
    <x v="2"/>
    <d v="2021-07-05T00:00:00"/>
    <n v="867.2"/>
  </r>
  <r>
    <x v="21"/>
    <x v="1"/>
    <d v="2021-07-05T00:00:00"/>
    <n v="764.40000000000009"/>
  </r>
  <r>
    <x v="3"/>
    <x v="1"/>
    <d v="2021-07-05T00:00:00"/>
    <n v="620"/>
  </r>
  <r>
    <x v="15"/>
    <x v="0"/>
    <d v="2021-07-05T00:00:00"/>
    <n v="616.40000000000009"/>
  </r>
  <r>
    <x v="5"/>
    <x v="0"/>
    <d v="2021-07-05T00:00:00"/>
    <n v="592.4"/>
  </r>
  <r>
    <x v="20"/>
    <x v="3"/>
    <d v="2021-07-05T00:00:00"/>
    <n v="494.40000000000003"/>
  </r>
  <r>
    <x v="17"/>
    <x v="1"/>
    <d v="2021-07-05T00:00:00"/>
    <n v="483.6"/>
  </r>
  <r>
    <x v="24"/>
    <x v="2"/>
    <d v="2021-07-05T00:00:00"/>
    <n v="452.8"/>
  </r>
  <r>
    <x v="12"/>
    <x v="3"/>
    <d v="2021-07-05T00:00:00"/>
    <n v="431.6"/>
  </r>
  <r>
    <x v="13"/>
    <x v="0"/>
    <d v="2021-07-05T00:00:00"/>
    <n v="357.20000000000005"/>
  </r>
  <r>
    <x v="19"/>
    <x v="2"/>
    <d v="2021-07-05T00:00:00"/>
    <n v="321.60000000000002"/>
  </r>
  <r>
    <x v="14"/>
    <x v="3"/>
    <d v="2021-07-05T00:00:00"/>
    <n v="256"/>
  </r>
  <r>
    <x v="25"/>
    <x v="0"/>
    <d v="2021-07-05T00:00:00"/>
    <n v="180.4"/>
  </r>
  <r>
    <x v="10"/>
    <x v="0"/>
    <d v="2021-07-05T00:00:00"/>
    <n v="1297.2"/>
  </r>
  <r>
    <x v="22"/>
    <x v="4"/>
    <d v="2021-07-05T00:00:00"/>
    <n v="1862"/>
  </r>
  <r>
    <x v="11"/>
    <x v="0"/>
    <d v="2021-07-06T00:00:00"/>
    <n v="1620.8000000000002"/>
  </r>
  <r>
    <x v="2"/>
    <x v="1"/>
    <d v="2021-07-06T00:00:00"/>
    <n v="1536"/>
  </r>
  <r>
    <x v="10"/>
    <x v="0"/>
    <d v="2021-07-06T00:00:00"/>
    <n v="1434.4"/>
  </r>
  <r>
    <x v="9"/>
    <x v="0"/>
    <d v="2021-07-06T00:00:00"/>
    <n v="1394"/>
  </r>
  <r>
    <x v="0"/>
    <x v="0"/>
    <d v="2021-07-06T00:00:00"/>
    <n v="1369.6000000000001"/>
  </r>
  <r>
    <x v="5"/>
    <x v="0"/>
    <d v="2021-07-06T00:00:00"/>
    <n v="1215.6000000000001"/>
  </r>
  <r>
    <x v="3"/>
    <x v="1"/>
    <d v="2021-07-06T00:00:00"/>
    <n v="1151.6000000000001"/>
  </r>
  <r>
    <x v="8"/>
    <x v="2"/>
    <d v="2021-07-06T00:00:00"/>
    <n v="1050"/>
  </r>
  <r>
    <x v="23"/>
    <x v="3"/>
    <d v="2021-07-06T00:00:00"/>
    <n v="930"/>
  </r>
  <r>
    <x v="7"/>
    <x v="1"/>
    <d v="2021-07-06T00:00:00"/>
    <n v="918.80000000000007"/>
  </r>
  <r>
    <x v="18"/>
    <x v="4"/>
    <d v="2021-07-06T00:00:00"/>
    <n v="894.40000000000009"/>
  </r>
  <r>
    <x v="21"/>
    <x v="1"/>
    <d v="2021-07-06T00:00:00"/>
    <n v="752.40000000000009"/>
  </r>
  <r>
    <x v="12"/>
    <x v="3"/>
    <d v="2021-07-06T00:00:00"/>
    <n v="749.2"/>
  </r>
  <r>
    <x v="16"/>
    <x v="1"/>
    <d v="2021-07-06T00:00:00"/>
    <n v="722"/>
  </r>
  <r>
    <x v="15"/>
    <x v="0"/>
    <d v="2021-07-06T00:00:00"/>
    <n v="698.80000000000007"/>
  </r>
  <r>
    <x v="20"/>
    <x v="3"/>
    <d v="2021-07-06T00:00:00"/>
    <n v="694.80000000000007"/>
  </r>
  <r>
    <x v="1"/>
    <x v="0"/>
    <d v="2021-07-06T00:00:00"/>
    <n v="644"/>
  </r>
  <r>
    <x v="4"/>
    <x v="1"/>
    <d v="2021-07-06T00:00:00"/>
    <n v="632.80000000000007"/>
  </r>
  <r>
    <x v="14"/>
    <x v="3"/>
    <d v="2021-07-06T00:00:00"/>
    <n v="563.20000000000005"/>
  </r>
  <r>
    <x v="13"/>
    <x v="0"/>
    <d v="2021-07-06T00:00:00"/>
    <n v="483.6"/>
  </r>
  <r>
    <x v="17"/>
    <x v="1"/>
    <d v="2021-07-06T00:00:00"/>
    <n v="422.40000000000003"/>
  </r>
  <r>
    <x v="24"/>
    <x v="2"/>
    <d v="2021-07-06T00:00:00"/>
    <n v="334.40000000000003"/>
  </r>
  <r>
    <x v="25"/>
    <x v="0"/>
    <d v="2021-07-06T00:00:00"/>
    <n v="301.60000000000002"/>
  </r>
  <r>
    <x v="19"/>
    <x v="2"/>
    <d v="2021-07-06T00:00:00"/>
    <n v="271.2"/>
  </r>
  <r>
    <x v="22"/>
    <x v="4"/>
    <d v="2021-07-06T00:00:00"/>
    <n v="1891.2"/>
  </r>
  <r>
    <x v="6"/>
    <x v="2"/>
    <d v="2021-07-06T00:00:00"/>
    <n v="1661.6000000000001"/>
  </r>
  <r>
    <x v="1"/>
    <x v="0"/>
    <d v="2021-07-07T00:00:00"/>
    <n v="1445.2"/>
  </r>
  <r>
    <x v="0"/>
    <x v="0"/>
    <d v="2021-07-07T00:00:00"/>
    <n v="1405.2"/>
  </r>
  <r>
    <x v="10"/>
    <x v="0"/>
    <d v="2021-07-07T00:00:00"/>
    <n v="1141.6000000000001"/>
  </r>
  <r>
    <x v="6"/>
    <x v="2"/>
    <d v="2021-07-07T00:00:00"/>
    <n v="1121.6000000000001"/>
  </r>
  <r>
    <x v="18"/>
    <x v="4"/>
    <d v="2021-07-07T00:00:00"/>
    <n v="1111.2"/>
  </r>
  <r>
    <x v="9"/>
    <x v="0"/>
    <d v="2021-07-07T00:00:00"/>
    <n v="1021.2"/>
  </r>
  <r>
    <x v="8"/>
    <x v="2"/>
    <d v="2021-07-07T00:00:00"/>
    <n v="994"/>
  </r>
  <r>
    <x v="3"/>
    <x v="1"/>
    <d v="2021-07-07T00:00:00"/>
    <n v="906.40000000000009"/>
  </r>
  <r>
    <x v="23"/>
    <x v="3"/>
    <d v="2021-07-07T00:00:00"/>
    <n v="885.2"/>
  </r>
  <r>
    <x v="4"/>
    <x v="1"/>
    <d v="2021-07-07T00:00:00"/>
    <n v="852.80000000000007"/>
  </r>
  <r>
    <x v="16"/>
    <x v="1"/>
    <d v="2021-07-07T00:00:00"/>
    <n v="761.6"/>
  </r>
  <r>
    <x v="15"/>
    <x v="0"/>
    <d v="2021-07-07T00:00:00"/>
    <n v="727.6"/>
  </r>
  <r>
    <x v="7"/>
    <x v="1"/>
    <d v="2021-07-07T00:00:00"/>
    <n v="724.40000000000009"/>
  </r>
  <r>
    <x v="12"/>
    <x v="3"/>
    <d v="2021-07-07T00:00:00"/>
    <n v="722.40000000000009"/>
  </r>
  <r>
    <x v="20"/>
    <x v="3"/>
    <d v="2021-07-07T00:00:00"/>
    <n v="628.40000000000009"/>
  </r>
  <r>
    <x v="5"/>
    <x v="0"/>
    <d v="2021-07-07T00:00:00"/>
    <n v="612.4"/>
  </r>
  <r>
    <x v="17"/>
    <x v="1"/>
    <d v="2021-07-07T00:00:00"/>
    <n v="510.40000000000003"/>
  </r>
  <r>
    <x v="13"/>
    <x v="0"/>
    <d v="2021-07-07T00:00:00"/>
    <n v="428.40000000000003"/>
  </r>
  <r>
    <x v="21"/>
    <x v="1"/>
    <d v="2021-07-07T00:00:00"/>
    <n v="413.6"/>
  </r>
  <r>
    <x v="24"/>
    <x v="2"/>
    <d v="2021-07-07T00:00:00"/>
    <n v="339.20000000000005"/>
  </r>
  <r>
    <x v="19"/>
    <x v="2"/>
    <d v="2021-07-07T00:00:00"/>
    <n v="292.8"/>
  </r>
  <r>
    <x v="25"/>
    <x v="0"/>
    <d v="2021-07-07T00:00:00"/>
    <n v="290"/>
  </r>
  <r>
    <x v="14"/>
    <x v="3"/>
    <d v="2021-07-07T00:00:00"/>
    <n v="228.4"/>
  </r>
  <r>
    <x v="2"/>
    <x v="1"/>
    <d v="2021-07-07T00:00:00"/>
    <n v="1789.6000000000001"/>
  </r>
  <r>
    <x v="11"/>
    <x v="0"/>
    <d v="2021-07-07T00:00:00"/>
    <n v="1709.2"/>
  </r>
  <r>
    <x v="22"/>
    <x v="4"/>
    <d v="2021-07-07T00:00:00"/>
    <n v="1673.6000000000001"/>
  </r>
  <r>
    <x v="10"/>
    <x v="0"/>
    <d v="2021-07-08T00:00:00"/>
    <n v="1050.4000000000001"/>
  </r>
  <r>
    <x v="5"/>
    <x v="0"/>
    <d v="2021-07-08T00:00:00"/>
    <n v="1036.4000000000001"/>
  </r>
  <r>
    <x v="6"/>
    <x v="2"/>
    <d v="2021-07-08T00:00:00"/>
    <n v="1017.2"/>
  </r>
  <r>
    <x v="16"/>
    <x v="1"/>
    <d v="2021-07-08T00:00:00"/>
    <n v="975.2"/>
  </r>
  <r>
    <x v="20"/>
    <x v="3"/>
    <d v="2021-07-08T00:00:00"/>
    <n v="956.40000000000009"/>
  </r>
  <r>
    <x v="18"/>
    <x v="4"/>
    <d v="2021-07-08T00:00:00"/>
    <n v="955.6"/>
  </r>
  <r>
    <x v="2"/>
    <x v="1"/>
    <d v="2021-07-08T00:00:00"/>
    <n v="946.40000000000009"/>
  </r>
  <r>
    <x v="15"/>
    <x v="0"/>
    <d v="2021-07-08T00:00:00"/>
    <n v="934"/>
  </r>
  <r>
    <x v="9"/>
    <x v="0"/>
    <d v="2021-07-08T00:00:00"/>
    <n v="918.80000000000007"/>
  </r>
  <r>
    <x v="8"/>
    <x v="2"/>
    <d v="2021-07-08T00:00:00"/>
    <n v="840.80000000000007"/>
  </r>
  <r>
    <x v="1"/>
    <x v="0"/>
    <d v="2021-07-08T00:00:00"/>
    <n v="826"/>
  </r>
  <r>
    <x v="3"/>
    <x v="1"/>
    <d v="2021-07-08T00:00:00"/>
    <n v="796"/>
  </r>
  <r>
    <x v="7"/>
    <x v="1"/>
    <d v="2021-07-08T00:00:00"/>
    <n v="776.80000000000007"/>
  </r>
  <r>
    <x v="4"/>
    <x v="1"/>
    <d v="2021-07-08T00:00:00"/>
    <n v="725.6"/>
  </r>
  <r>
    <x v="23"/>
    <x v="3"/>
    <d v="2021-07-08T00:00:00"/>
    <n v="718.40000000000009"/>
  </r>
  <r>
    <x v="13"/>
    <x v="0"/>
    <d v="2021-07-08T00:00:00"/>
    <n v="621.6"/>
  </r>
  <r>
    <x v="21"/>
    <x v="1"/>
    <d v="2021-07-08T00:00:00"/>
    <n v="465.20000000000005"/>
  </r>
  <r>
    <x v="14"/>
    <x v="3"/>
    <d v="2021-07-08T00:00:00"/>
    <n v="400.8"/>
  </r>
  <r>
    <x v="19"/>
    <x v="2"/>
    <d v="2021-07-08T00:00:00"/>
    <n v="394"/>
  </r>
  <r>
    <x v="25"/>
    <x v="0"/>
    <d v="2021-07-08T00:00:00"/>
    <n v="388.8"/>
  </r>
  <r>
    <x v="12"/>
    <x v="3"/>
    <d v="2021-07-08T00:00:00"/>
    <n v="341.6"/>
  </r>
  <r>
    <x v="24"/>
    <x v="2"/>
    <d v="2021-07-08T00:00:00"/>
    <n v="338.8"/>
  </r>
  <r>
    <x v="17"/>
    <x v="1"/>
    <d v="2021-07-08T00:00:00"/>
    <n v="243.60000000000002"/>
  </r>
  <r>
    <x v="0"/>
    <x v="0"/>
    <d v="2021-07-08T00:00:00"/>
    <n v="1764.4"/>
  </r>
  <r>
    <x v="11"/>
    <x v="0"/>
    <d v="2021-07-08T00:00:00"/>
    <n v="1746.4"/>
  </r>
  <r>
    <x v="22"/>
    <x v="4"/>
    <d v="2021-07-08T00:00:00"/>
    <n v="1692"/>
  </r>
  <r>
    <x v="2"/>
    <x v="1"/>
    <d v="2021-07-09T00:00:00"/>
    <n v="1259.6000000000001"/>
  </r>
  <r>
    <x v="15"/>
    <x v="0"/>
    <d v="2021-07-09T00:00:00"/>
    <n v="1072.4000000000001"/>
  </r>
  <r>
    <x v="1"/>
    <x v="0"/>
    <d v="2021-07-09T00:00:00"/>
    <n v="1062.4000000000001"/>
  </r>
  <r>
    <x v="8"/>
    <x v="2"/>
    <d v="2021-07-09T00:00:00"/>
    <n v="960.80000000000007"/>
  </r>
  <r>
    <x v="10"/>
    <x v="0"/>
    <d v="2021-07-09T00:00:00"/>
    <n v="927.2"/>
  </r>
  <r>
    <x v="21"/>
    <x v="1"/>
    <d v="2021-07-09T00:00:00"/>
    <n v="921.6"/>
  </r>
  <r>
    <x v="4"/>
    <x v="1"/>
    <d v="2021-07-09T00:00:00"/>
    <n v="815.6"/>
  </r>
  <r>
    <x v="9"/>
    <x v="0"/>
    <d v="2021-07-09T00:00:00"/>
    <n v="811.2"/>
  </r>
  <r>
    <x v="3"/>
    <x v="1"/>
    <d v="2021-07-09T00:00:00"/>
    <n v="751.2"/>
  </r>
  <r>
    <x v="6"/>
    <x v="2"/>
    <d v="2021-07-09T00:00:00"/>
    <n v="638.80000000000007"/>
  </r>
  <r>
    <x v="11"/>
    <x v="0"/>
    <d v="2021-07-09T00:00:00"/>
    <n v="625.20000000000005"/>
  </r>
  <r>
    <x v="18"/>
    <x v="4"/>
    <d v="2021-07-09T00:00:00"/>
    <n v="558.80000000000007"/>
  </r>
  <r>
    <x v="0"/>
    <x v="0"/>
    <d v="2021-07-09T00:00:00"/>
    <n v="557.6"/>
  </r>
  <r>
    <x v="12"/>
    <x v="3"/>
    <d v="2021-07-09T00:00:00"/>
    <n v="533.20000000000005"/>
  </r>
  <r>
    <x v="14"/>
    <x v="3"/>
    <d v="2021-07-09T00:00:00"/>
    <n v="422"/>
  </r>
  <r>
    <x v="5"/>
    <x v="0"/>
    <d v="2021-07-09T00:00:00"/>
    <n v="416.40000000000003"/>
  </r>
  <r>
    <x v="24"/>
    <x v="2"/>
    <d v="2021-07-09T00:00:00"/>
    <n v="414"/>
  </r>
  <r>
    <x v="16"/>
    <x v="1"/>
    <d v="2021-07-09T00:00:00"/>
    <n v="406.40000000000003"/>
  </r>
  <r>
    <x v="23"/>
    <x v="3"/>
    <d v="2021-07-09T00:00:00"/>
    <n v="385.20000000000005"/>
  </r>
  <r>
    <x v="20"/>
    <x v="3"/>
    <d v="2021-07-09T00:00:00"/>
    <n v="377.6"/>
  </r>
  <r>
    <x v="13"/>
    <x v="0"/>
    <d v="2021-07-09T00:00:00"/>
    <n v="351.20000000000005"/>
  </r>
  <r>
    <x v="19"/>
    <x v="2"/>
    <d v="2021-07-09T00:00:00"/>
    <n v="290"/>
  </r>
  <r>
    <x v="7"/>
    <x v="1"/>
    <d v="2021-07-09T00:00:00"/>
    <n v="120"/>
  </r>
  <r>
    <x v="17"/>
    <x v="1"/>
    <d v="2021-07-09T00:00:00"/>
    <n v="108.80000000000001"/>
  </r>
  <r>
    <x v="22"/>
    <x v="4"/>
    <d v="2021-07-09T00:00:00"/>
    <n v="1641.2"/>
  </r>
  <r>
    <x v="1"/>
    <x v="0"/>
    <d v="2021-07-10T00:00:00"/>
    <n v="1154.8"/>
  </r>
  <r>
    <x v="3"/>
    <x v="1"/>
    <d v="2021-07-10T00:00:00"/>
    <n v="1108"/>
  </r>
  <r>
    <x v="2"/>
    <x v="1"/>
    <d v="2021-07-10T00:00:00"/>
    <n v="1075.6000000000001"/>
  </r>
  <r>
    <x v="9"/>
    <x v="0"/>
    <d v="2021-07-10T00:00:00"/>
    <n v="920"/>
  </r>
  <r>
    <x v="22"/>
    <x v="4"/>
    <d v="2021-07-10T00:00:00"/>
    <n v="774"/>
  </r>
  <r>
    <x v="23"/>
    <x v="3"/>
    <d v="2021-07-10T00:00:00"/>
    <n v="768.40000000000009"/>
  </r>
  <r>
    <x v="20"/>
    <x v="3"/>
    <d v="2021-07-10T00:00:00"/>
    <n v="656.40000000000009"/>
  </r>
  <r>
    <x v="0"/>
    <x v="0"/>
    <d v="2021-07-10T00:00:00"/>
    <n v="633.20000000000005"/>
  </r>
  <r>
    <x v="11"/>
    <x v="0"/>
    <d v="2021-07-10T00:00:00"/>
    <n v="582.80000000000007"/>
  </r>
  <r>
    <x v="10"/>
    <x v="0"/>
    <d v="2021-07-10T00:00:00"/>
    <n v="490"/>
  </r>
  <r>
    <x v="21"/>
    <x v="1"/>
    <d v="2021-07-10T00:00:00"/>
    <n v="472"/>
  </r>
  <r>
    <x v="15"/>
    <x v="0"/>
    <d v="2021-07-10T00:00:00"/>
    <n v="417.20000000000005"/>
  </r>
  <r>
    <x v="18"/>
    <x v="4"/>
    <d v="2021-07-10T00:00:00"/>
    <n v="415.6"/>
  </r>
  <r>
    <x v="7"/>
    <x v="1"/>
    <d v="2021-07-10T00:00:00"/>
    <n v="395.20000000000005"/>
  </r>
  <r>
    <x v="4"/>
    <x v="1"/>
    <d v="2021-07-10T00:00:00"/>
    <n v="394.40000000000003"/>
  </r>
  <r>
    <x v="19"/>
    <x v="2"/>
    <d v="2021-07-10T00:00:00"/>
    <n v="390.40000000000003"/>
  </r>
  <r>
    <x v="16"/>
    <x v="1"/>
    <d v="2021-07-10T00:00:00"/>
    <n v="379.6"/>
  </r>
  <r>
    <x v="12"/>
    <x v="3"/>
    <d v="2021-07-10T00:00:00"/>
    <n v="376.8"/>
  </r>
  <r>
    <x v="8"/>
    <x v="2"/>
    <d v="2021-07-10T00:00:00"/>
    <n v="348.8"/>
  </r>
  <r>
    <x v="14"/>
    <x v="3"/>
    <d v="2021-07-10T00:00:00"/>
    <n v="292.8"/>
  </r>
  <r>
    <x v="24"/>
    <x v="2"/>
    <d v="2021-07-10T00:00:00"/>
    <n v="281.60000000000002"/>
  </r>
  <r>
    <x v="6"/>
    <x v="2"/>
    <d v="2021-07-10T00:00:00"/>
    <n v="260"/>
  </r>
  <r>
    <x v="13"/>
    <x v="0"/>
    <d v="2021-07-10T00:00:00"/>
    <n v="184.8"/>
  </r>
  <r>
    <x v="17"/>
    <x v="1"/>
    <d v="2021-07-10T00:00:00"/>
    <n v="164"/>
  </r>
  <r>
    <x v="0"/>
    <x v="0"/>
    <d v="2021-07-11T00:00:00"/>
    <n v="1611.2"/>
  </r>
  <r>
    <x v="11"/>
    <x v="0"/>
    <d v="2021-07-11T00:00:00"/>
    <n v="1456.8000000000002"/>
  </r>
  <r>
    <x v="22"/>
    <x v="4"/>
    <d v="2021-07-11T00:00:00"/>
    <n v="1220.4000000000001"/>
  </r>
  <r>
    <x v="1"/>
    <x v="0"/>
    <d v="2021-07-11T00:00:00"/>
    <n v="1154"/>
  </r>
  <r>
    <x v="9"/>
    <x v="0"/>
    <d v="2021-07-11T00:00:00"/>
    <n v="1146.4000000000001"/>
  </r>
  <r>
    <x v="23"/>
    <x v="3"/>
    <d v="2021-07-11T00:00:00"/>
    <n v="976.80000000000007"/>
  </r>
  <r>
    <x v="5"/>
    <x v="0"/>
    <d v="2021-07-11T00:00:00"/>
    <n v="922"/>
  </r>
  <r>
    <x v="6"/>
    <x v="2"/>
    <d v="2021-07-11T00:00:00"/>
    <n v="821.6"/>
  </r>
  <r>
    <x v="18"/>
    <x v="4"/>
    <d v="2021-07-11T00:00:00"/>
    <n v="801.6"/>
  </r>
  <r>
    <x v="3"/>
    <x v="1"/>
    <d v="2021-07-11T00:00:00"/>
    <n v="797.2"/>
  </r>
  <r>
    <x v="20"/>
    <x v="3"/>
    <d v="2021-07-11T00:00:00"/>
    <n v="729.6"/>
  </r>
  <r>
    <x v="8"/>
    <x v="2"/>
    <d v="2021-07-11T00:00:00"/>
    <n v="709.2"/>
  </r>
  <r>
    <x v="12"/>
    <x v="3"/>
    <d v="2021-07-11T00:00:00"/>
    <n v="707.6"/>
  </r>
  <r>
    <x v="16"/>
    <x v="1"/>
    <d v="2021-07-11T00:00:00"/>
    <n v="692"/>
  </r>
  <r>
    <x v="17"/>
    <x v="1"/>
    <d v="2021-07-11T00:00:00"/>
    <n v="603.6"/>
  </r>
  <r>
    <x v="7"/>
    <x v="1"/>
    <d v="2021-07-11T00:00:00"/>
    <n v="585.20000000000005"/>
  </r>
  <r>
    <x v="15"/>
    <x v="0"/>
    <d v="2021-07-11T00:00:00"/>
    <n v="541.6"/>
  </r>
  <r>
    <x v="4"/>
    <x v="1"/>
    <d v="2021-07-11T00:00:00"/>
    <n v="529.20000000000005"/>
  </r>
  <r>
    <x v="21"/>
    <x v="1"/>
    <d v="2021-07-11T00:00:00"/>
    <n v="487.20000000000005"/>
  </r>
  <r>
    <x v="13"/>
    <x v="0"/>
    <d v="2021-07-11T00:00:00"/>
    <n v="374"/>
  </r>
  <r>
    <x v="24"/>
    <x v="2"/>
    <d v="2021-07-11T00:00:00"/>
    <n v="265.2"/>
  </r>
  <r>
    <x v="25"/>
    <x v="0"/>
    <d v="2021-07-11T00:00:00"/>
    <n v="257.60000000000002"/>
  </r>
  <r>
    <x v="14"/>
    <x v="3"/>
    <d v="2021-07-11T00:00:00"/>
    <n v="248.8"/>
  </r>
  <r>
    <x v="19"/>
    <x v="2"/>
    <d v="2021-07-11T00:00:00"/>
    <n v="152.80000000000001"/>
  </r>
  <r>
    <x v="2"/>
    <x v="1"/>
    <d v="2021-07-11T00:00:00"/>
    <n v="1321.6000000000001"/>
  </r>
  <r>
    <x v="10"/>
    <x v="0"/>
    <d v="2021-07-11T00:00:00"/>
    <n v="1670.8000000000002"/>
  </r>
  <r>
    <x v="9"/>
    <x v="0"/>
    <d v="2021-07-12T00:00:00"/>
    <n v="1587.2"/>
  </r>
  <r>
    <x v="0"/>
    <x v="0"/>
    <d v="2021-07-12T00:00:00"/>
    <n v="1412.4"/>
  </r>
  <r>
    <x v="1"/>
    <x v="0"/>
    <d v="2021-07-12T00:00:00"/>
    <n v="1227.6000000000001"/>
  </r>
  <r>
    <x v="11"/>
    <x v="0"/>
    <d v="2021-07-12T00:00:00"/>
    <n v="1224.8"/>
  </r>
  <r>
    <x v="15"/>
    <x v="0"/>
    <d v="2021-07-12T00:00:00"/>
    <n v="1046.8"/>
  </r>
  <r>
    <x v="5"/>
    <x v="0"/>
    <d v="2021-07-12T00:00:00"/>
    <n v="1033.6000000000001"/>
  </r>
  <r>
    <x v="8"/>
    <x v="2"/>
    <d v="2021-07-12T00:00:00"/>
    <n v="1028"/>
  </r>
  <r>
    <x v="18"/>
    <x v="4"/>
    <d v="2021-07-12T00:00:00"/>
    <n v="979.2"/>
  </r>
  <r>
    <x v="16"/>
    <x v="1"/>
    <d v="2021-07-12T00:00:00"/>
    <n v="936"/>
  </r>
  <r>
    <x v="23"/>
    <x v="3"/>
    <d v="2021-07-12T00:00:00"/>
    <n v="906"/>
  </r>
  <r>
    <x v="6"/>
    <x v="2"/>
    <d v="2021-07-12T00:00:00"/>
    <n v="890.40000000000009"/>
  </r>
  <r>
    <x v="12"/>
    <x v="3"/>
    <d v="2021-07-12T00:00:00"/>
    <n v="802"/>
  </r>
  <r>
    <x v="3"/>
    <x v="1"/>
    <d v="2021-07-12T00:00:00"/>
    <n v="801.6"/>
  </r>
  <r>
    <x v="20"/>
    <x v="3"/>
    <d v="2021-07-12T00:00:00"/>
    <n v="781.2"/>
  </r>
  <r>
    <x v="7"/>
    <x v="1"/>
    <d v="2021-07-12T00:00:00"/>
    <n v="664.80000000000007"/>
  </r>
  <r>
    <x v="21"/>
    <x v="1"/>
    <d v="2021-07-12T00:00:00"/>
    <n v="656.80000000000007"/>
  </r>
  <r>
    <x v="4"/>
    <x v="1"/>
    <d v="2021-07-12T00:00:00"/>
    <n v="650.40000000000009"/>
  </r>
  <r>
    <x v="24"/>
    <x v="2"/>
    <d v="2021-07-12T00:00:00"/>
    <n v="422.8"/>
  </r>
  <r>
    <x v="19"/>
    <x v="2"/>
    <d v="2021-07-12T00:00:00"/>
    <n v="400.40000000000003"/>
  </r>
  <r>
    <x v="13"/>
    <x v="0"/>
    <d v="2021-07-12T00:00:00"/>
    <n v="370.8"/>
  </r>
  <r>
    <x v="17"/>
    <x v="1"/>
    <d v="2021-07-12T00:00:00"/>
    <n v="363.6"/>
  </r>
  <r>
    <x v="14"/>
    <x v="3"/>
    <d v="2021-07-12T00:00:00"/>
    <n v="336"/>
  </r>
  <r>
    <x v="10"/>
    <x v="0"/>
    <d v="2021-07-12T00:00:00"/>
    <n v="1300.8000000000002"/>
  </r>
  <r>
    <x v="2"/>
    <x v="1"/>
    <d v="2021-07-12T00:00:00"/>
    <n v="1662.8000000000002"/>
  </r>
  <r>
    <x v="22"/>
    <x v="4"/>
    <d v="2021-07-12T00:00:00"/>
    <n v="1632.8000000000002"/>
  </r>
  <r>
    <x v="0"/>
    <x v="0"/>
    <d v="2021-07-13T00:00:00"/>
    <n v="1605.2"/>
  </r>
  <r>
    <x v="10"/>
    <x v="0"/>
    <d v="2021-07-13T00:00:00"/>
    <n v="1581.6000000000001"/>
  </r>
  <r>
    <x v="4"/>
    <x v="1"/>
    <d v="2021-07-13T00:00:00"/>
    <n v="1202.8"/>
  </r>
  <r>
    <x v="2"/>
    <x v="1"/>
    <d v="2021-07-13T00:00:00"/>
    <n v="1202"/>
  </r>
  <r>
    <x v="5"/>
    <x v="0"/>
    <d v="2021-07-13T00:00:00"/>
    <n v="1154"/>
  </r>
  <r>
    <x v="16"/>
    <x v="1"/>
    <d v="2021-07-13T00:00:00"/>
    <n v="1070.4000000000001"/>
  </r>
  <r>
    <x v="6"/>
    <x v="2"/>
    <d v="2021-07-13T00:00:00"/>
    <n v="990"/>
  </r>
  <r>
    <x v="3"/>
    <x v="1"/>
    <d v="2021-07-13T00:00:00"/>
    <n v="989.6"/>
  </r>
  <r>
    <x v="1"/>
    <x v="0"/>
    <d v="2021-07-13T00:00:00"/>
    <n v="988.40000000000009"/>
  </r>
  <r>
    <x v="23"/>
    <x v="3"/>
    <d v="2021-07-13T00:00:00"/>
    <n v="906"/>
  </r>
  <r>
    <x v="11"/>
    <x v="0"/>
    <d v="2021-07-13T00:00:00"/>
    <n v="898"/>
  </r>
  <r>
    <x v="21"/>
    <x v="1"/>
    <d v="2021-07-13T00:00:00"/>
    <n v="878"/>
  </r>
  <r>
    <x v="7"/>
    <x v="1"/>
    <d v="2021-07-13T00:00:00"/>
    <n v="865.6"/>
  </r>
  <r>
    <x v="15"/>
    <x v="0"/>
    <d v="2021-07-13T00:00:00"/>
    <n v="796"/>
  </r>
  <r>
    <x v="18"/>
    <x v="4"/>
    <d v="2021-07-13T00:00:00"/>
    <n v="771.6"/>
  </r>
  <r>
    <x v="8"/>
    <x v="2"/>
    <d v="2021-07-13T00:00:00"/>
    <n v="681.2"/>
  </r>
  <r>
    <x v="17"/>
    <x v="1"/>
    <d v="2021-07-13T00:00:00"/>
    <n v="624.40000000000009"/>
  </r>
  <r>
    <x v="24"/>
    <x v="2"/>
    <d v="2021-07-13T00:00:00"/>
    <n v="499.20000000000005"/>
  </r>
  <r>
    <x v="14"/>
    <x v="3"/>
    <d v="2021-07-13T00:00:00"/>
    <n v="486.8"/>
  </r>
  <r>
    <x v="20"/>
    <x v="3"/>
    <d v="2021-07-13T00:00:00"/>
    <n v="470.8"/>
  </r>
  <r>
    <x v="12"/>
    <x v="3"/>
    <d v="2021-07-13T00:00:00"/>
    <n v="442"/>
  </r>
  <r>
    <x v="19"/>
    <x v="2"/>
    <d v="2021-07-13T00:00:00"/>
    <n v="441.20000000000005"/>
  </r>
  <r>
    <x v="13"/>
    <x v="0"/>
    <d v="2021-07-13T00:00:00"/>
    <n v="347.6"/>
  </r>
  <r>
    <x v="25"/>
    <x v="0"/>
    <d v="2021-07-13T00:00:00"/>
    <n v="336.8"/>
  </r>
  <r>
    <x v="9"/>
    <x v="0"/>
    <d v="2021-07-13T00:00:00"/>
    <n v="1836.8000000000002"/>
  </r>
  <r>
    <x v="22"/>
    <x v="4"/>
    <d v="2021-07-13T00:00:00"/>
    <n v="1762"/>
  </r>
  <r>
    <x v="9"/>
    <x v="0"/>
    <d v="2021-07-14T00:00:00"/>
    <n v="1539.2"/>
  </r>
  <r>
    <x v="11"/>
    <x v="0"/>
    <d v="2021-07-14T00:00:00"/>
    <n v="1435.6000000000001"/>
  </r>
  <r>
    <x v="0"/>
    <x v="0"/>
    <d v="2021-07-14T00:00:00"/>
    <n v="1380.8000000000002"/>
  </r>
  <r>
    <x v="2"/>
    <x v="1"/>
    <d v="2021-07-14T00:00:00"/>
    <n v="1267.6000000000001"/>
  </r>
  <r>
    <x v="7"/>
    <x v="1"/>
    <d v="2021-07-14T00:00:00"/>
    <n v="1126.4000000000001"/>
  </r>
  <r>
    <x v="6"/>
    <x v="2"/>
    <d v="2021-07-14T00:00:00"/>
    <n v="965.2"/>
  </r>
  <r>
    <x v="1"/>
    <x v="0"/>
    <d v="2021-07-14T00:00:00"/>
    <n v="900"/>
  </r>
  <r>
    <x v="5"/>
    <x v="0"/>
    <d v="2021-07-14T00:00:00"/>
    <n v="884.40000000000009"/>
  </r>
  <r>
    <x v="8"/>
    <x v="2"/>
    <d v="2021-07-14T00:00:00"/>
    <n v="848.40000000000009"/>
  </r>
  <r>
    <x v="21"/>
    <x v="1"/>
    <d v="2021-07-14T00:00:00"/>
    <n v="818.80000000000007"/>
  </r>
  <r>
    <x v="23"/>
    <x v="3"/>
    <d v="2021-07-14T00:00:00"/>
    <n v="768.40000000000009"/>
  </r>
  <r>
    <x v="15"/>
    <x v="0"/>
    <d v="2021-07-14T00:00:00"/>
    <n v="745.2"/>
  </r>
  <r>
    <x v="16"/>
    <x v="1"/>
    <d v="2021-07-14T00:00:00"/>
    <n v="670.40000000000009"/>
  </r>
  <r>
    <x v="3"/>
    <x v="1"/>
    <d v="2021-07-14T00:00:00"/>
    <n v="661.6"/>
  </r>
  <r>
    <x v="18"/>
    <x v="4"/>
    <d v="2021-07-14T00:00:00"/>
    <n v="654.80000000000007"/>
  </r>
  <r>
    <x v="20"/>
    <x v="3"/>
    <d v="2021-07-14T00:00:00"/>
    <n v="604.4"/>
  </r>
  <r>
    <x v="12"/>
    <x v="3"/>
    <d v="2021-07-14T00:00:00"/>
    <n v="540"/>
  </r>
  <r>
    <x v="4"/>
    <x v="1"/>
    <d v="2021-07-14T00:00:00"/>
    <n v="539.20000000000005"/>
  </r>
  <r>
    <x v="13"/>
    <x v="0"/>
    <d v="2021-07-14T00:00:00"/>
    <n v="490.40000000000003"/>
  </r>
  <r>
    <x v="24"/>
    <x v="2"/>
    <d v="2021-07-14T00:00:00"/>
    <n v="376.40000000000003"/>
  </r>
  <r>
    <x v="25"/>
    <x v="0"/>
    <d v="2021-07-14T00:00:00"/>
    <n v="252.8"/>
  </r>
  <r>
    <x v="14"/>
    <x v="3"/>
    <d v="2021-07-14T00:00:00"/>
    <n v="250"/>
  </r>
  <r>
    <x v="17"/>
    <x v="1"/>
    <d v="2021-07-14T00:00:00"/>
    <n v="233.20000000000002"/>
  </r>
  <r>
    <x v="19"/>
    <x v="2"/>
    <d v="2021-07-14T00:00:00"/>
    <n v="44.400000000000006"/>
  </r>
  <r>
    <x v="10"/>
    <x v="0"/>
    <d v="2021-07-14T00:00:00"/>
    <n v="1340.4"/>
  </r>
  <r>
    <x v="22"/>
    <x v="4"/>
    <d v="2021-07-14T00:00:00"/>
    <n v="1800.8000000000002"/>
  </r>
  <r>
    <x v="0"/>
    <x v="0"/>
    <d v="2021-07-15T00:00:00"/>
    <n v="1464.8000000000002"/>
  </r>
  <r>
    <x v="9"/>
    <x v="0"/>
    <d v="2021-07-15T00:00:00"/>
    <n v="1381.6000000000001"/>
  </r>
  <r>
    <x v="22"/>
    <x v="4"/>
    <d v="2021-07-15T00:00:00"/>
    <n v="1373.6000000000001"/>
  </r>
  <r>
    <x v="11"/>
    <x v="0"/>
    <d v="2021-07-15T00:00:00"/>
    <n v="1362.8000000000002"/>
  </r>
  <r>
    <x v="2"/>
    <x v="1"/>
    <d v="2021-07-15T00:00:00"/>
    <n v="1174"/>
  </r>
  <r>
    <x v="3"/>
    <x v="1"/>
    <d v="2021-07-15T00:00:00"/>
    <n v="1069.2"/>
  </r>
  <r>
    <x v="23"/>
    <x v="3"/>
    <d v="2021-07-15T00:00:00"/>
    <n v="1052.4000000000001"/>
  </r>
  <r>
    <x v="1"/>
    <x v="0"/>
    <d v="2021-07-15T00:00:00"/>
    <n v="1025.2"/>
  </r>
  <r>
    <x v="16"/>
    <x v="1"/>
    <d v="2021-07-15T00:00:00"/>
    <n v="954"/>
  </r>
  <r>
    <x v="5"/>
    <x v="0"/>
    <d v="2021-07-15T00:00:00"/>
    <n v="915.6"/>
  </r>
  <r>
    <x v="15"/>
    <x v="0"/>
    <d v="2021-07-15T00:00:00"/>
    <n v="913.2"/>
  </r>
  <r>
    <x v="12"/>
    <x v="3"/>
    <d v="2021-07-15T00:00:00"/>
    <n v="863.6"/>
  </r>
  <r>
    <x v="7"/>
    <x v="1"/>
    <d v="2021-07-15T00:00:00"/>
    <n v="857.6"/>
  </r>
  <r>
    <x v="18"/>
    <x v="4"/>
    <d v="2021-07-15T00:00:00"/>
    <n v="742.80000000000007"/>
  </r>
  <r>
    <x v="6"/>
    <x v="2"/>
    <d v="2021-07-15T00:00:00"/>
    <n v="694"/>
  </r>
  <r>
    <x v="8"/>
    <x v="2"/>
    <d v="2021-07-15T00:00:00"/>
    <n v="628"/>
  </r>
  <r>
    <x v="21"/>
    <x v="1"/>
    <d v="2021-07-15T00:00:00"/>
    <n v="548.80000000000007"/>
  </r>
  <r>
    <x v="4"/>
    <x v="1"/>
    <d v="2021-07-15T00:00:00"/>
    <n v="538.80000000000007"/>
  </r>
  <r>
    <x v="20"/>
    <x v="3"/>
    <d v="2021-07-15T00:00:00"/>
    <n v="516.80000000000007"/>
  </r>
  <r>
    <x v="25"/>
    <x v="0"/>
    <d v="2021-07-15T00:00:00"/>
    <n v="429.20000000000005"/>
  </r>
  <r>
    <x v="13"/>
    <x v="0"/>
    <d v="2021-07-15T00:00:00"/>
    <n v="416.40000000000003"/>
  </r>
  <r>
    <x v="19"/>
    <x v="2"/>
    <d v="2021-07-15T00:00:00"/>
    <n v="288.8"/>
  </r>
  <r>
    <x v="24"/>
    <x v="2"/>
    <d v="2021-07-15T00:00:00"/>
    <n v="261.60000000000002"/>
  </r>
  <r>
    <x v="17"/>
    <x v="1"/>
    <d v="2021-07-15T00:00:00"/>
    <n v="184.4"/>
  </r>
  <r>
    <x v="14"/>
    <x v="3"/>
    <d v="2021-07-15T00:00:00"/>
    <n v="112"/>
  </r>
  <r>
    <x v="10"/>
    <x v="0"/>
    <d v="2021-07-15T00:00:00"/>
    <n v="1289.2"/>
  </r>
  <r>
    <x v="2"/>
    <x v="1"/>
    <d v="2021-07-16T00:00:00"/>
    <n v="1588.4"/>
  </r>
  <r>
    <x v="11"/>
    <x v="0"/>
    <d v="2021-07-16T00:00:00"/>
    <n v="1263.2"/>
  </r>
  <r>
    <x v="8"/>
    <x v="2"/>
    <d v="2021-07-16T00:00:00"/>
    <n v="1068.4000000000001"/>
  </r>
  <r>
    <x v="6"/>
    <x v="2"/>
    <d v="2021-07-16T00:00:00"/>
    <n v="940"/>
  </r>
  <r>
    <x v="3"/>
    <x v="1"/>
    <d v="2021-07-16T00:00:00"/>
    <n v="916"/>
  </r>
  <r>
    <x v="22"/>
    <x v="4"/>
    <d v="2021-07-16T00:00:00"/>
    <n v="892"/>
  </r>
  <r>
    <x v="9"/>
    <x v="0"/>
    <d v="2021-07-16T00:00:00"/>
    <n v="878.80000000000007"/>
  </r>
  <r>
    <x v="0"/>
    <x v="0"/>
    <d v="2021-07-16T00:00:00"/>
    <n v="878.40000000000009"/>
  </r>
  <r>
    <x v="16"/>
    <x v="1"/>
    <d v="2021-07-16T00:00:00"/>
    <n v="718.80000000000007"/>
  </r>
  <r>
    <x v="23"/>
    <x v="3"/>
    <d v="2021-07-16T00:00:00"/>
    <n v="716.80000000000007"/>
  </r>
  <r>
    <x v="1"/>
    <x v="0"/>
    <d v="2021-07-16T00:00:00"/>
    <n v="578"/>
  </r>
  <r>
    <x v="18"/>
    <x v="4"/>
    <d v="2021-07-16T00:00:00"/>
    <n v="559.6"/>
  </r>
  <r>
    <x v="4"/>
    <x v="1"/>
    <d v="2021-07-16T00:00:00"/>
    <n v="555.6"/>
  </r>
  <r>
    <x v="15"/>
    <x v="0"/>
    <d v="2021-07-16T00:00:00"/>
    <n v="514"/>
  </r>
  <r>
    <x v="10"/>
    <x v="0"/>
    <d v="2021-07-16T00:00:00"/>
    <n v="506"/>
  </r>
  <r>
    <x v="21"/>
    <x v="1"/>
    <d v="2021-07-16T00:00:00"/>
    <n v="499.6"/>
  </r>
  <r>
    <x v="20"/>
    <x v="3"/>
    <d v="2021-07-16T00:00:00"/>
    <n v="481.6"/>
  </r>
  <r>
    <x v="14"/>
    <x v="3"/>
    <d v="2021-07-16T00:00:00"/>
    <n v="455.6"/>
  </r>
  <r>
    <x v="12"/>
    <x v="3"/>
    <d v="2021-07-16T00:00:00"/>
    <n v="417.20000000000005"/>
  </r>
  <r>
    <x v="5"/>
    <x v="0"/>
    <d v="2021-07-16T00:00:00"/>
    <n v="410.8"/>
  </r>
  <r>
    <x v="13"/>
    <x v="0"/>
    <d v="2021-07-16T00:00:00"/>
    <n v="332.8"/>
  </r>
  <r>
    <x v="24"/>
    <x v="2"/>
    <d v="2021-07-16T00:00:00"/>
    <n v="299.60000000000002"/>
  </r>
  <r>
    <x v="17"/>
    <x v="1"/>
    <d v="2021-07-16T00:00:00"/>
    <n v="298"/>
  </r>
  <r>
    <x v="19"/>
    <x v="2"/>
    <d v="2021-07-16T00:00:00"/>
    <n v="284.8"/>
  </r>
  <r>
    <x v="7"/>
    <x v="1"/>
    <d v="2021-07-16T00:00:00"/>
    <n v="238.4"/>
  </r>
  <r>
    <x v="25"/>
    <x v="0"/>
    <d v="2021-07-16T00:00:00"/>
    <n v="0"/>
  </r>
  <r>
    <x v="8"/>
    <x v="2"/>
    <d v="2021-07-17T00:00:00"/>
    <n v="1386.4"/>
  </r>
  <r>
    <x v="9"/>
    <x v="0"/>
    <d v="2021-07-17T00:00:00"/>
    <n v="865.6"/>
  </r>
  <r>
    <x v="1"/>
    <x v="0"/>
    <d v="2021-07-17T00:00:00"/>
    <n v="791.2"/>
  </r>
  <r>
    <x v="23"/>
    <x v="3"/>
    <d v="2021-07-17T00:00:00"/>
    <n v="789.6"/>
  </r>
  <r>
    <x v="0"/>
    <x v="0"/>
    <d v="2021-07-17T00:00:00"/>
    <n v="779.2"/>
  </r>
  <r>
    <x v="22"/>
    <x v="4"/>
    <d v="2021-07-17T00:00:00"/>
    <n v="769.6"/>
  </r>
  <r>
    <x v="5"/>
    <x v="0"/>
    <d v="2021-07-17T00:00:00"/>
    <n v="704.40000000000009"/>
  </r>
  <r>
    <x v="10"/>
    <x v="0"/>
    <d v="2021-07-17T00:00:00"/>
    <n v="688.80000000000007"/>
  </r>
  <r>
    <x v="20"/>
    <x v="3"/>
    <d v="2021-07-17T00:00:00"/>
    <n v="571.20000000000005"/>
  </r>
  <r>
    <x v="3"/>
    <x v="1"/>
    <d v="2021-07-17T00:00:00"/>
    <n v="496.40000000000003"/>
  </r>
  <r>
    <x v="16"/>
    <x v="1"/>
    <d v="2021-07-17T00:00:00"/>
    <n v="495.6"/>
  </r>
  <r>
    <x v="11"/>
    <x v="0"/>
    <d v="2021-07-17T00:00:00"/>
    <n v="415.20000000000005"/>
  </r>
  <r>
    <x v="4"/>
    <x v="1"/>
    <d v="2021-07-17T00:00:00"/>
    <n v="402"/>
  </r>
  <r>
    <x v="18"/>
    <x v="4"/>
    <d v="2021-07-17T00:00:00"/>
    <n v="400.8"/>
  </r>
  <r>
    <x v="17"/>
    <x v="1"/>
    <d v="2021-07-17T00:00:00"/>
    <n v="324"/>
  </r>
  <r>
    <x v="24"/>
    <x v="2"/>
    <d v="2021-07-17T00:00:00"/>
    <n v="315.20000000000005"/>
  </r>
  <r>
    <x v="19"/>
    <x v="2"/>
    <d v="2021-07-17T00:00:00"/>
    <n v="308"/>
  </r>
  <r>
    <x v="21"/>
    <x v="1"/>
    <d v="2021-07-17T00:00:00"/>
    <n v="278.40000000000003"/>
  </r>
  <r>
    <x v="13"/>
    <x v="0"/>
    <d v="2021-07-17T00:00:00"/>
    <n v="260.40000000000003"/>
  </r>
  <r>
    <x v="12"/>
    <x v="3"/>
    <d v="2021-07-17T00:00:00"/>
    <n v="244"/>
  </r>
  <r>
    <x v="15"/>
    <x v="0"/>
    <d v="2021-07-17T00:00:00"/>
    <n v="232.4"/>
  </r>
  <r>
    <x v="14"/>
    <x v="3"/>
    <d v="2021-07-17T00:00:00"/>
    <n v="219.20000000000002"/>
  </r>
  <r>
    <x v="7"/>
    <x v="1"/>
    <d v="2021-07-17T00:00:00"/>
    <n v="204.4"/>
  </r>
  <r>
    <x v="25"/>
    <x v="0"/>
    <d v="2021-07-17T00:00:00"/>
    <n v="0"/>
  </r>
  <r>
    <x v="2"/>
    <x v="1"/>
    <d v="2021-07-17T00:00:00"/>
    <n v="1296"/>
  </r>
  <r>
    <x v="6"/>
    <x v="2"/>
    <d v="2021-07-17T00:00:00"/>
    <n v="1268.4000000000001"/>
  </r>
  <r>
    <x v="0"/>
    <x v="0"/>
    <d v="2021-07-18T00:00:00"/>
    <n v="1246"/>
  </r>
  <r>
    <x v="6"/>
    <x v="2"/>
    <d v="2021-07-18T00:00:00"/>
    <n v="1070"/>
  </r>
  <r>
    <x v="9"/>
    <x v="0"/>
    <d v="2021-07-18T00:00:00"/>
    <n v="951.6"/>
  </r>
  <r>
    <x v="18"/>
    <x v="4"/>
    <d v="2021-07-18T00:00:00"/>
    <n v="929.6"/>
  </r>
  <r>
    <x v="8"/>
    <x v="2"/>
    <d v="2021-07-18T00:00:00"/>
    <n v="923.2"/>
  </r>
  <r>
    <x v="22"/>
    <x v="4"/>
    <d v="2021-07-18T00:00:00"/>
    <n v="897.2"/>
  </r>
  <r>
    <x v="1"/>
    <x v="0"/>
    <d v="2021-07-18T00:00:00"/>
    <n v="866.40000000000009"/>
  </r>
  <r>
    <x v="23"/>
    <x v="3"/>
    <d v="2021-07-18T00:00:00"/>
    <n v="856"/>
  </r>
  <r>
    <x v="2"/>
    <x v="1"/>
    <d v="2021-07-18T00:00:00"/>
    <n v="799.6"/>
  </r>
  <r>
    <x v="11"/>
    <x v="0"/>
    <d v="2021-07-18T00:00:00"/>
    <n v="754.80000000000007"/>
  </r>
  <r>
    <x v="10"/>
    <x v="0"/>
    <d v="2021-07-18T00:00:00"/>
    <n v="744.40000000000009"/>
  </r>
  <r>
    <x v="5"/>
    <x v="0"/>
    <d v="2021-07-18T00:00:00"/>
    <n v="697.2"/>
  </r>
  <r>
    <x v="3"/>
    <x v="1"/>
    <d v="2021-07-18T00:00:00"/>
    <n v="598.80000000000007"/>
  </r>
  <r>
    <x v="21"/>
    <x v="1"/>
    <d v="2021-07-18T00:00:00"/>
    <n v="566.4"/>
  </r>
  <r>
    <x v="24"/>
    <x v="2"/>
    <d v="2021-07-18T00:00:00"/>
    <n v="522.80000000000007"/>
  </r>
  <r>
    <x v="12"/>
    <x v="3"/>
    <d v="2021-07-18T00:00:00"/>
    <n v="514"/>
  </r>
  <r>
    <x v="4"/>
    <x v="1"/>
    <d v="2021-07-18T00:00:00"/>
    <n v="493.6"/>
  </r>
  <r>
    <x v="15"/>
    <x v="0"/>
    <d v="2021-07-18T00:00:00"/>
    <n v="485.20000000000005"/>
  </r>
  <r>
    <x v="16"/>
    <x v="1"/>
    <d v="2021-07-18T00:00:00"/>
    <n v="449.6"/>
  </r>
  <r>
    <x v="20"/>
    <x v="3"/>
    <d v="2021-07-18T00:00:00"/>
    <n v="283.2"/>
  </r>
  <r>
    <x v="7"/>
    <x v="1"/>
    <d v="2021-07-18T00:00:00"/>
    <n v="228"/>
  </r>
  <r>
    <x v="17"/>
    <x v="1"/>
    <d v="2021-07-18T00:00:00"/>
    <n v="202"/>
  </r>
  <r>
    <x v="19"/>
    <x v="2"/>
    <d v="2021-07-18T00:00:00"/>
    <n v="197.60000000000002"/>
  </r>
  <r>
    <x v="14"/>
    <x v="3"/>
    <d v="2021-07-18T00:00:00"/>
    <n v="187.20000000000002"/>
  </r>
  <r>
    <x v="13"/>
    <x v="0"/>
    <d v="2021-07-18T00:00:00"/>
    <n v="129.20000000000002"/>
  </r>
  <r>
    <x v="25"/>
    <x v="0"/>
    <d v="2021-07-18T00:00:00"/>
    <n v="0"/>
  </r>
  <r>
    <x v="1"/>
    <x v="0"/>
    <d v="2021-07-19T00:00:00"/>
    <n v="1403.2"/>
  </r>
  <r>
    <x v="8"/>
    <x v="2"/>
    <d v="2021-07-19T00:00:00"/>
    <n v="865.6"/>
  </r>
  <r>
    <x v="6"/>
    <x v="2"/>
    <d v="2021-07-19T00:00:00"/>
    <n v="829.6"/>
  </r>
  <r>
    <x v="21"/>
    <x v="1"/>
    <d v="2021-07-19T00:00:00"/>
    <n v="823.2"/>
  </r>
  <r>
    <x v="23"/>
    <x v="3"/>
    <d v="2021-07-19T00:00:00"/>
    <n v="724.40000000000009"/>
  </r>
  <r>
    <x v="3"/>
    <x v="1"/>
    <d v="2021-07-19T00:00:00"/>
    <n v="666"/>
  </r>
  <r>
    <x v="16"/>
    <x v="1"/>
    <d v="2021-07-19T00:00:00"/>
    <n v="552.4"/>
  </r>
  <r>
    <x v="11"/>
    <x v="0"/>
    <d v="2021-07-19T00:00:00"/>
    <n v="489.6"/>
  </r>
  <r>
    <x v="22"/>
    <x v="4"/>
    <d v="2021-07-19T00:00:00"/>
    <n v="476.40000000000003"/>
  </r>
  <r>
    <x v="12"/>
    <x v="3"/>
    <d v="2021-07-19T00:00:00"/>
    <n v="467.20000000000005"/>
  </r>
  <r>
    <x v="2"/>
    <x v="1"/>
    <d v="2021-07-19T00:00:00"/>
    <n v="465.20000000000005"/>
  </r>
  <r>
    <x v="24"/>
    <x v="2"/>
    <d v="2021-07-19T00:00:00"/>
    <n v="426.40000000000003"/>
  </r>
  <r>
    <x v="9"/>
    <x v="0"/>
    <d v="2021-07-19T00:00:00"/>
    <n v="418.40000000000003"/>
  </r>
  <r>
    <x v="5"/>
    <x v="0"/>
    <d v="2021-07-19T00:00:00"/>
    <n v="409.20000000000005"/>
  </r>
  <r>
    <x v="4"/>
    <x v="1"/>
    <d v="2021-07-19T00:00:00"/>
    <n v="408.40000000000003"/>
  </r>
  <r>
    <x v="0"/>
    <x v="0"/>
    <d v="2021-07-19T00:00:00"/>
    <n v="408"/>
  </r>
  <r>
    <x v="10"/>
    <x v="0"/>
    <d v="2021-07-19T00:00:00"/>
    <n v="395.20000000000005"/>
  </r>
  <r>
    <x v="7"/>
    <x v="1"/>
    <d v="2021-07-19T00:00:00"/>
    <n v="326.8"/>
  </r>
  <r>
    <x v="20"/>
    <x v="3"/>
    <d v="2021-07-19T00:00:00"/>
    <n v="322"/>
  </r>
  <r>
    <x v="15"/>
    <x v="0"/>
    <d v="2021-07-19T00:00:00"/>
    <n v="252.8"/>
  </r>
  <r>
    <x v="14"/>
    <x v="3"/>
    <d v="2021-07-19T00:00:00"/>
    <n v="216"/>
  </r>
  <r>
    <x v="17"/>
    <x v="1"/>
    <d v="2021-07-19T00:00:00"/>
    <n v="215.60000000000002"/>
  </r>
  <r>
    <x v="13"/>
    <x v="0"/>
    <d v="2021-07-19T00:00:00"/>
    <n v="158"/>
  </r>
  <r>
    <x v="19"/>
    <x v="2"/>
    <d v="2021-07-19T00:00:00"/>
    <n v="111.60000000000001"/>
  </r>
  <r>
    <x v="18"/>
    <x v="4"/>
    <d v="2021-07-19T00:00:00"/>
    <n v="78.400000000000006"/>
  </r>
  <r>
    <x v="25"/>
    <x v="0"/>
    <d v="2021-07-19T00:00:00"/>
    <n v="0"/>
  </r>
  <r>
    <x v="23"/>
    <x v="3"/>
    <d v="2021-07-20T00:00:00"/>
    <n v="1519.6000000000001"/>
  </r>
  <r>
    <x v="1"/>
    <x v="0"/>
    <d v="2021-07-20T00:00:00"/>
    <n v="1159.2"/>
  </r>
  <r>
    <x v="8"/>
    <x v="2"/>
    <d v="2021-07-20T00:00:00"/>
    <n v="1045.2"/>
  </r>
  <r>
    <x v="10"/>
    <x v="0"/>
    <d v="2021-07-20T00:00:00"/>
    <n v="1013.6"/>
  </r>
  <r>
    <x v="22"/>
    <x v="4"/>
    <d v="2021-07-20T00:00:00"/>
    <n v="927.2"/>
  </r>
  <r>
    <x v="2"/>
    <x v="1"/>
    <d v="2021-07-20T00:00:00"/>
    <n v="892"/>
  </r>
  <r>
    <x v="11"/>
    <x v="0"/>
    <d v="2021-07-20T00:00:00"/>
    <n v="884"/>
  </r>
  <r>
    <x v="21"/>
    <x v="1"/>
    <d v="2021-07-20T00:00:00"/>
    <n v="859.2"/>
  </r>
  <r>
    <x v="3"/>
    <x v="1"/>
    <d v="2021-07-20T00:00:00"/>
    <n v="771.6"/>
  </r>
  <r>
    <x v="0"/>
    <x v="0"/>
    <d v="2021-07-20T00:00:00"/>
    <n v="735.6"/>
  </r>
  <r>
    <x v="6"/>
    <x v="2"/>
    <d v="2021-07-20T00:00:00"/>
    <n v="668.40000000000009"/>
  </r>
  <r>
    <x v="9"/>
    <x v="0"/>
    <d v="2021-07-20T00:00:00"/>
    <n v="651.6"/>
  </r>
  <r>
    <x v="20"/>
    <x v="3"/>
    <d v="2021-07-20T00:00:00"/>
    <n v="571.6"/>
  </r>
  <r>
    <x v="15"/>
    <x v="0"/>
    <d v="2021-07-20T00:00:00"/>
    <n v="549.6"/>
  </r>
  <r>
    <x v="12"/>
    <x v="3"/>
    <d v="2021-07-20T00:00:00"/>
    <n v="530"/>
  </r>
  <r>
    <x v="5"/>
    <x v="0"/>
    <d v="2021-07-20T00:00:00"/>
    <n v="524"/>
  </r>
  <r>
    <x v="4"/>
    <x v="1"/>
    <d v="2021-07-20T00:00:00"/>
    <n v="492"/>
  </r>
  <r>
    <x v="19"/>
    <x v="2"/>
    <d v="2021-07-20T00:00:00"/>
    <n v="432"/>
  </r>
  <r>
    <x v="24"/>
    <x v="2"/>
    <d v="2021-07-20T00:00:00"/>
    <n v="405.20000000000005"/>
  </r>
  <r>
    <x v="17"/>
    <x v="1"/>
    <d v="2021-07-20T00:00:00"/>
    <n v="399.6"/>
  </r>
  <r>
    <x v="16"/>
    <x v="1"/>
    <d v="2021-07-20T00:00:00"/>
    <n v="371.6"/>
  </r>
  <r>
    <x v="7"/>
    <x v="1"/>
    <d v="2021-07-20T00:00:00"/>
    <n v="343.6"/>
  </r>
  <r>
    <x v="14"/>
    <x v="3"/>
    <d v="2021-07-20T00:00:00"/>
    <n v="299.2"/>
  </r>
  <r>
    <x v="18"/>
    <x v="4"/>
    <d v="2021-07-20T00:00:00"/>
    <n v="150.4"/>
  </r>
  <r>
    <x v="13"/>
    <x v="0"/>
    <d v="2021-07-20T00:00:00"/>
    <n v="93.2"/>
  </r>
  <r>
    <x v="25"/>
    <x v="0"/>
    <d v="2021-07-20T00:00:00"/>
    <n v="0"/>
  </r>
  <r>
    <x v="8"/>
    <x v="2"/>
    <d v="2021-07-21T00:00:00"/>
    <n v="1114.4000000000001"/>
  </r>
  <r>
    <x v="0"/>
    <x v="0"/>
    <d v="2021-07-21T00:00:00"/>
    <n v="927.6"/>
  </r>
  <r>
    <x v="1"/>
    <x v="0"/>
    <d v="2021-07-21T00:00:00"/>
    <n v="874.40000000000009"/>
  </r>
  <r>
    <x v="6"/>
    <x v="2"/>
    <d v="2021-07-21T00:00:00"/>
    <n v="867.6"/>
  </r>
  <r>
    <x v="23"/>
    <x v="3"/>
    <d v="2021-07-21T00:00:00"/>
    <n v="834"/>
  </r>
  <r>
    <x v="20"/>
    <x v="3"/>
    <d v="2021-07-21T00:00:00"/>
    <n v="752.40000000000009"/>
  </r>
  <r>
    <x v="16"/>
    <x v="1"/>
    <d v="2021-07-21T00:00:00"/>
    <n v="678.40000000000009"/>
  </r>
  <r>
    <x v="10"/>
    <x v="0"/>
    <d v="2021-07-21T00:00:00"/>
    <n v="669.2"/>
  </r>
  <r>
    <x v="12"/>
    <x v="3"/>
    <d v="2021-07-21T00:00:00"/>
    <n v="610.4"/>
  </r>
  <r>
    <x v="11"/>
    <x v="0"/>
    <d v="2021-07-21T00:00:00"/>
    <n v="568.4"/>
  </r>
  <r>
    <x v="9"/>
    <x v="0"/>
    <d v="2021-07-21T00:00:00"/>
    <n v="504.8"/>
  </r>
  <r>
    <x v="5"/>
    <x v="0"/>
    <d v="2021-07-21T00:00:00"/>
    <n v="467.20000000000005"/>
  </r>
  <r>
    <x v="22"/>
    <x v="4"/>
    <d v="2021-07-21T00:00:00"/>
    <n v="454"/>
  </r>
  <r>
    <x v="21"/>
    <x v="1"/>
    <d v="2021-07-21T00:00:00"/>
    <n v="435.20000000000005"/>
  </r>
  <r>
    <x v="4"/>
    <x v="1"/>
    <d v="2021-07-21T00:00:00"/>
    <n v="434.40000000000003"/>
  </r>
  <r>
    <x v="15"/>
    <x v="0"/>
    <d v="2021-07-21T00:00:00"/>
    <n v="423.20000000000005"/>
  </r>
  <r>
    <x v="18"/>
    <x v="4"/>
    <d v="2021-07-21T00:00:00"/>
    <n v="373.20000000000005"/>
  </r>
  <r>
    <x v="14"/>
    <x v="3"/>
    <d v="2021-07-21T00:00:00"/>
    <n v="308.40000000000003"/>
  </r>
  <r>
    <x v="17"/>
    <x v="1"/>
    <d v="2021-07-21T00:00:00"/>
    <n v="258.8"/>
  </r>
  <r>
    <x v="13"/>
    <x v="0"/>
    <d v="2021-07-21T00:00:00"/>
    <n v="233.20000000000002"/>
  </r>
  <r>
    <x v="24"/>
    <x v="2"/>
    <d v="2021-07-21T00:00:00"/>
    <n v="156.80000000000001"/>
  </r>
  <r>
    <x v="7"/>
    <x v="1"/>
    <d v="2021-07-21T00:00:00"/>
    <n v="151.20000000000002"/>
  </r>
  <r>
    <x v="19"/>
    <x v="2"/>
    <d v="2021-07-21T00:00:00"/>
    <n v="53.2"/>
  </r>
  <r>
    <x v="3"/>
    <x v="1"/>
    <d v="2021-07-21T00:00:00"/>
    <n v="0"/>
  </r>
  <r>
    <x v="25"/>
    <x v="0"/>
    <d v="2021-07-21T00:00:00"/>
    <n v="0"/>
  </r>
  <r>
    <x v="2"/>
    <x v="1"/>
    <d v="2021-07-21T00:00:00"/>
    <n v="1334.8000000000002"/>
  </r>
  <r>
    <x v="23"/>
    <x v="3"/>
    <d v="2021-07-22T00:00:00"/>
    <n v="1020"/>
  </r>
  <r>
    <x v="8"/>
    <x v="2"/>
    <d v="2021-07-22T00:00:00"/>
    <n v="960.80000000000007"/>
  </r>
  <r>
    <x v="4"/>
    <x v="1"/>
    <d v="2021-07-22T00:00:00"/>
    <n v="798.80000000000007"/>
  </r>
  <r>
    <x v="0"/>
    <x v="0"/>
    <d v="2021-07-22T00:00:00"/>
    <n v="723.6"/>
  </r>
  <r>
    <x v="11"/>
    <x v="0"/>
    <d v="2021-07-22T00:00:00"/>
    <n v="708"/>
  </r>
  <r>
    <x v="6"/>
    <x v="2"/>
    <d v="2021-07-22T00:00:00"/>
    <n v="698.40000000000009"/>
  </r>
  <r>
    <x v="22"/>
    <x v="4"/>
    <d v="2021-07-22T00:00:00"/>
    <n v="567.6"/>
  </r>
  <r>
    <x v="1"/>
    <x v="0"/>
    <d v="2021-07-22T00:00:00"/>
    <n v="553.20000000000005"/>
  </r>
  <r>
    <x v="5"/>
    <x v="0"/>
    <d v="2021-07-22T00:00:00"/>
    <n v="492.8"/>
  </r>
  <r>
    <x v="21"/>
    <x v="1"/>
    <d v="2021-07-22T00:00:00"/>
    <n v="474.8"/>
  </r>
  <r>
    <x v="16"/>
    <x v="1"/>
    <d v="2021-07-22T00:00:00"/>
    <n v="470.8"/>
  </r>
  <r>
    <x v="24"/>
    <x v="2"/>
    <d v="2021-07-22T00:00:00"/>
    <n v="447.20000000000005"/>
  </r>
  <r>
    <x v="12"/>
    <x v="3"/>
    <d v="2021-07-22T00:00:00"/>
    <n v="440.40000000000003"/>
  </r>
  <r>
    <x v="9"/>
    <x v="0"/>
    <d v="2021-07-22T00:00:00"/>
    <n v="430.40000000000003"/>
  </r>
  <r>
    <x v="20"/>
    <x v="3"/>
    <d v="2021-07-22T00:00:00"/>
    <n v="418.8"/>
  </r>
  <r>
    <x v="10"/>
    <x v="0"/>
    <d v="2021-07-22T00:00:00"/>
    <n v="404.40000000000003"/>
  </r>
  <r>
    <x v="17"/>
    <x v="1"/>
    <d v="2021-07-22T00:00:00"/>
    <n v="333.6"/>
  </r>
  <r>
    <x v="15"/>
    <x v="0"/>
    <d v="2021-07-22T00:00:00"/>
    <n v="326.8"/>
  </r>
  <r>
    <x v="19"/>
    <x v="2"/>
    <d v="2021-07-22T00:00:00"/>
    <n v="320.40000000000003"/>
  </r>
  <r>
    <x v="18"/>
    <x v="4"/>
    <d v="2021-07-22T00:00:00"/>
    <n v="280.40000000000003"/>
  </r>
  <r>
    <x v="13"/>
    <x v="0"/>
    <d v="2021-07-22T00:00:00"/>
    <n v="279.60000000000002"/>
  </r>
  <r>
    <x v="7"/>
    <x v="1"/>
    <d v="2021-07-22T00:00:00"/>
    <n v="142.80000000000001"/>
  </r>
  <r>
    <x v="14"/>
    <x v="3"/>
    <d v="2021-07-22T00:00:00"/>
    <n v="40.400000000000006"/>
  </r>
  <r>
    <x v="3"/>
    <x v="1"/>
    <d v="2021-07-22T00:00:00"/>
    <n v="0"/>
  </r>
  <r>
    <x v="25"/>
    <x v="0"/>
    <d v="2021-07-22T00:00:00"/>
    <n v="0"/>
  </r>
  <r>
    <x v="2"/>
    <x v="1"/>
    <d v="2021-07-22T00:00:00"/>
    <n v="2217.6"/>
  </r>
  <r>
    <x v="0"/>
    <x v="0"/>
    <d v="2021-07-23T00:00:00"/>
    <n v="742.80000000000007"/>
  </r>
  <r>
    <x v="9"/>
    <x v="0"/>
    <d v="2021-07-23T00:00:00"/>
    <n v="740.40000000000009"/>
  </r>
  <r>
    <x v="23"/>
    <x v="3"/>
    <d v="2021-07-23T00:00:00"/>
    <n v="697.6"/>
  </r>
  <r>
    <x v="22"/>
    <x v="4"/>
    <d v="2021-07-23T00:00:00"/>
    <n v="659.2"/>
  </r>
  <r>
    <x v="4"/>
    <x v="1"/>
    <d v="2021-07-23T00:00:00"/>
    <n v="649.20000000000005"/>
  </r>
  <r>
    <x v="8"/>
    <x v="2"/>
    <d v="2021-07-23T00:00:00"/>
    <n v="636.40000000000009"/>
  </r>
  <r>
    <x v="1"/>
    <x v="0"/>
    <d v="2021-07-23T00:00:00"/>
    <n v="592"/>
  </r>
  <r>
    <x v="10"/>
    <x v="0"/>
    <d v="2021-07-23T00:00:00"/>
    <n v="545.6"/>
  </r>
  <r>
    <x v="11"/>
    <x v="0"/>
    <d v="2021-07-23T00:00:00"/>
    <n v="524.80000000000007"/>
  </r>
  <r>
    <x v="16"/>
    <x v="1"/>
    <d v="2021-07-23T00:00:00"/>
    <n v="475.6"/>
  </r>
  <r>
    <x v="12"/>
    <x v="3"/>
    <d v="2021-07-23T00:00:00"/>
    <n v="469.6"/>
  </r>
  <r>
    <x v="24"/>
    <x v="2"/>
    <d v="2021-07-23T00:00:00"/>
    <n v="464.8"/>
  </r>
  <r>
    <x v="21"/>
    <x v="1"/>
    <d v="2021-07-23T00:00:00"/>
    <n v="444.40000000000003"/>
  </r>
  <r>
    <x v="20"/>
    <x v="3"/>
    <d v="2021-07-23T00:00:00"/>
    <n v="345.6"/>
  </r>
  <r>
    <x v="5"/>
    <x v="0"/>
    <d v="2021-07-23T00:00:00"/>
    <n v="337.6"/>
  </r>
  <r>
    <x v="7"/>
    <x v="1"/>
    <d v="2021-07-23T00:00:00"/>
    <n v="317.60000000000002"/>
  </r>
  <r>
    <x v="6"/>
    <x v="2"/>
    <d v="2021-07-23T00:00:00"/>
    <n v="294.40000000000003"/>
  </r>
  <r>
    <x v="15"/>
    <x v="0"/>
    <d v="2021-07-23T00:00:00"/>
    <n v="208.8"/>
  </r>
  <r>
    <x v="17"/>
    <x v="1"/>
    <d v="2021-07-23T00:00:00"/>
    <n v="205.60000000000002"/>
  </r>
  <r>
    <x v="18"/>
    <x v="4"/>
    <d v="2021-07-23T00:00:00"/>
    <n v="181.60000000000002"/>
  </r>
  <r>
    <x v="14"/>
    <x v="3"/>
    <d v="2021-07-23T00:00:00"/>
    <n v="178.4"/>
  </r>
  <r>
    <x v="13"/>
    <x v="0"/>
    <d v="2021-07-23T00:00:00"/>
    <n v="137.20000000000002"/>
  </r>
  <r>
    <x v="19"/>
    <x v="2"/>
    <d v="2021-07-23T00:00:00"/>
    <n v="44"/>
  </r>
  <r>
    <x v="3"/>
    <x v="1"/>
    <d v="2021-07-23T00:00:00"/>
    <n v="0"/>
  </r>
  <r>
    <x v="25"/>
    <x v="0"/>
    <d v="2021-07-23T00:00:00"/>
    <n v="0"/>
  </r>
  <r>
    <x v="2"/>
    <x v="1"/>
    <d v="2021-07-23T00:00:00"/>
    <n v="1831.2"/>
  </r>
  <r>
    <x v="2"/>
    <x v="1"/>
    <d v="2021-07-24T00:00:00"/>
    <n v="1198.4000000000001"/>
  </r>
  <r>
    <x v="6"/>
    <x v="2"/>
    <d v="2021-07-24T00:00:00"/>
    <n v="1072.8"/>
  </r>
  <r>
    <x v="8"/>
    <x v="2"/>
    <d v="2021-07-24T00:00:00"/>
    <n v="981.6"/>
  </r>
  <r>
    <x v="23"/>
    <x v="3"/>
    <d v="2021-07-24T00:00:00"/>
    <n v="878"/>
  </r>
  <r>
    <x v="12"/>
    <x v="3"/>
    <d v="2021-07-24T00:00:00"/>
    <n v="793.2"/>
  </r>
  <r>
    <x v="11"/>
    <x v="0"/>
    <d v="2021-07-24T00:00:00"/>
    <n v="722.80000000000007"/>
  </r>
  <r>
    <x v="1"/>
    <x v="0"/>
    <d v="2021-07-24T00:00:00"/>
    <n v="648"/>
  </r>
  <r>
    <x v="20"/>
    <x v="3"/>
    <d v="2021-07-24T00:00:00"/>
    <n v="622"/>
  </r>
  <r>
    <x v="22"/>
    <x v="4"/>
    <d v="2021-07-24T00:00:00"/>
    <n v="562.80000000000007"/>
  </r>
  <r>
    <x v="4"/>
    <x v="1"/>
    <d v="2021-07-24T00:00:00"/>
    <n v="558.4"/>
  </r>
  <r>
    <x v="9"/>
    <x v="0"/>
    <d v="2021-07-24T00:00:00"/>
    <n v="538"/>
  </r>
  <r>
    <x v="16"/>
    <x v="1"/>
    <d v="2021-07-24T00:00:00"/>
    <n v="525.6"/>
  </r>
  <r>
    <x v="5"/>
    <x v="0"/>
    <d v="2021-07-24T00:00:00"/>
    <n v="508.8"/>
  </r>
  <r>
    <x v="21"/>
    <x v="1"/>
    <d v="2021-07-24T00:00:00"/>
    <n v="486"/>
  </r>
  <r>
    <x v="15"/>
    <x v="0"/>
    <d v="2021-07-24T00:00:00"/>
    <n v="452.8"/>
  </r>
  <r>
    <x v="0"/>
    <x v="0"/>
    <d v="2021-07-24T00:00:00"/>
    <n v="444.40000000000003"/>
  </r>
  <r>
    <x v="10"/>
    <x v="0"/>
    <d v="2021-07-24T00:00:00"/>
    <n v="432.8"/>
  </r>
  <r>
    <x v="13"/>
    <x v="0"/>
    <d v="2021-07-24T00:00:00"/>
    <n v="265.60000000000002"/>
  </r>
  <r>
    <x v="17"/>
    <x v="1"/>
    <d v="2021-07-24T00:00:00"/>
    <n v="222.8"/>
  </r>
  <r>
    <x v="24"/>
    <x v="2"/>
    <d v="2021-07-24T00:00:00"/>
    <n v="222.8"/>
  </r>
  <r>
    <x v="14"/>
    <x v="3"/>
    <d v="2021-07-24T00:00:00"/>
    <n v="168.8"/>
  </r>
  <r>
    <x v="19"/>
    <x v="2"/>
    <d v="2021-07-24T00:00:00"/>
    <n v="150"/>
  </r>
  <r>
    <x v="7"/>
    <x v="1"/>
    <d v="2021-07-24T00:00:00"/>
    <n v="102"/>
  </r>
  <r>
    <x v="18"/>
    <x v="4"/>
    <d v="2021-07-24T00:00:00"/>
    <n v="90"/>
  </r>
  <r>
    <x v="3"/>
    <x v="1"/>
    <d v="2021-07-24T00:00:00"/>
    <n v="0"/>
  </r>
  <r>
    <x v="25"/>
    <x v="0"/>
    <d v="2021-07-24T00:00:00"/>
    <n v="0"/>
  </r>
  <r>
    <x v="6"/>
    <x v="2"/>
    <d v="2021-07-25T00:00:00"/>
    <n v="1143.2"/>
  </r>
  <r>
    <x v="0"/>
    <x v="0"/>
    <d v="2021-07-25T00:00:00"/>
    <n v="1133.6000000000001"/>
  </r>
  <r>
    <x v="2"/>
    <x v="1"/>
    <d v="2021-07-25T00:00:00"/>
    <n v="987.6"/>
  </r>
  <r>
    <x v="10"/>
    <x v="0"/>
    <d v="2021-07-25T00:00:00"/>
    <n v="978.40000000000009"/>
  </r>
  <r>
    <x v="23"/>
    <x v="3"/>
    <d v="2021-07-25T00:00:00"/>
    <n v="932.80000000000007"/>
  </r>
  <r>
    <x v="22"/>
    <x v="4"/>
    <d v="2021-07-25T00:00:00"/>
    <n v="821.6"/>
  </r>
  <r>
    <x v="24"/>
    <x v="2"/>
    <d v="2021-07-25T00:00:00"/>
    <n v="796.40000000000009"/>
  </r>
  <r>
    <x v="5"/>
    <x v="0"/>
    <d v="2021-07-25T00:00:00"/>
    <n v="796"/>
  </r>
  <r>
    <x v="15"/>
    <x v="0"/>
    <d v="2021-07-25T00:00:00"/>
    <n v="686"/>
  </r>
  <r>
    <x v="16"/>
    <x v="1"/>
    <d v="2021-07-25T00:00:00"/>
    <n v="670"/>
  </r>
  <r>
    <x v="21"/>
    <x v="1"/>
    <d v="2021-07-25T00:00:00"/>
    <n v="572"/>
  </r>
  <r>
    <x v="12"/>
    <x v="3"/>
    <d v="2021-07-25T00:00:00"/>
    <n v="532.4"/>
  </r>
  <r>
    <x v="4"/>
    <x v="1"/>
    <d v="2021-07-25T00:00:00"/>
    <n v="531.6"/>
  </r>
  <r>
    <x v="7"/>
    <x v="1"/>
    <d v="2021-07-25T00:00:00"/>
    <n v="518.4"/>
  </r>
  <r>
    <x v="20"/>
    <x v="3"/>
    <d v="2021-07-25T00:00:00"/>
    <n v="464.8"/>
  </r>
  <r>
    <x v="17"/>
    <x v="1"/>
    <d v="2021-07-25T00:00:00"/>
    <n v="460.8"/>
  </r>
  <r>
    <x v="8"/>
    <x v="2"/>
    <d v="2021-07-25T00:00:00"/>
    <n v="413.20000000000005"/>
  </r>
  <r>
    <x v="18"/>
    <x v="4"/>
    <d v="2021-07-25T00:00:00"/>
    <n v="408.8"/>
  </r>
  <r>
    <x v="13"/>
    <x v="0"/>
    <d v="2021-07-25T00:00:00"/>
    <n v="397.6"/>
  </r>
  <r>
    <x v="1"/>
    <x v="0"/>
    <d v="2021-07-25T00:00:00"/>
    <n v="378.40000000000003"/>
  </r>
  <r>
    <x v="19"/>
    <x v="2"/>
    <d v="2021-07-25T00:00:00"/>
    <n v="174"/>
  </r>
  <r>
    <x v="25"/>
    <x v="0"/>
    <d v="2021-07-25T00:00:00"/>
    <n v="164.8"/>
  </r>
  <r>
    <x v="14"/>
    <x v="3"/>
    <d v="2021-07-25T00:00:00"/>
    <n v="55.6"/>
  </r>
  <r>
    <x v="3"/>
    <x v="1"/>
    <d v="2021-07-25T00:00:00"/>
    <n v="0"/>
  </r>
  <r>
    <x v="11"/>
    <x v="0"/>
    <d v="2021-07-25T00:00:00"/>
    <n v="2083.2000000000003"/>
  </r>
  <r>
    <x v="9"/>
    <x v="0"/>
    <d v="2021-07-25T00:00:00"/>
    <n v="1342.4"/>
  </r>
  <r>
    <x v="10"/>
    <x v="0"/>
    <d v="2021-07-26T00:00:00"/>
    <n v="1568.4"/>
  </r>
  <r>
    <x v="0"/>
    <x v="0"/>
    <d v="2021-07-26T00:00:00"/>
    <n v="1445.2"/>
  </r>
  <r>
    <x v="22"/>
    <x v="4"/>
    <d v="2021-07-26T00:00:00"/>
    <n v="1247.2"/>
  </r>
  <r>
    <x v="2"/>
    <x v="1"/>
    <d v="2021-07-26T00:00:00"/>
    <n v="1116.8"/>
  </r>
  <r>
    <x v="11"/>
    <x v="0"/>
    <d v="2021-07-26T00:00:00"/>
    <n v="1106"/>
  </r>
  <r>
    <x v="9"/>
    <x v="0"/>
    <d v="2021-07-26T00:00:00"/>
    <n v="1047.2"/>
  </r>
  <r>
    <x v="15"/>
    <x v="0"/>
    <d v="2021-07-26T00:00:00"/>
    <n v="939.2"/>
  </r>
  <r>
    <x v="7"/>
    <x v="1"/>
    <d v="2021-07-26T00:00:00"/>
    <n v="928.80000000000007"/>
  </r>
  <r>
    <x v="1"/>
    <x v="0"/>
    <d v="2021-07-26T00:00:00"/>
    <n v="890.80000000000007"/>
  </r>
  <r>
    <x v="23"/>
    <x v="3"/>
    <d v="2021-07-26T00:00:00"/>
    <n v="875.2"/>
  </r>
  <r>
    <x v="24"/>
    <x v="2"/>
    <d v="2021-07-26T00:00:00"/>
    <n v="730.40000000000009"/>
  </r>
  <r>
    <x v="20"/>
    <x v="3"/>
    <d v="2021-07-26T00:00:00"/>
    <n v="726.40000000000009"/>
  </r>
  <r>
    <x v="12"/>
    <x v="3"/>
    <d v="2021-07-26T00:00:00"/>
    <n v="720"/>
  </r>
  <r>
    <x v="18"/>
    <x v="4"/>
    <d v="2021-07-26T00:00:00"/>
    <n v="705.6"/>
  </r>
  <r>
    <x v="8"/>
    <x v="2"/>
    <d v="2021-07-26T00:00:00"/>
    <n v="701.2"/>
  </r>
  <r>
    <x v="4"/>
    <x v="1"/>
    <d v="2021-07-26T00:00:00"/>
    <n v="637.20000000000005"/>
  </r>
  <r>
    <x v="17"/>
    <x v="1"/>
    <d v="2021-07-26T00:00:00"/>
    <n v="540.4"/>
  </r>
  <r>
    <x v="16"/>
    <x v="1"/>
    <d v="2021-07-26T00:00:00"/>
    <n v="528.80000000000007"/>
  </r>
  <r>
    <x v="25"/>
    <x v="0"/>
    <d v="2021-07-26T00:00:00"/>
    <n v="512"/>
  </r>
  <r>
    <x v="13"/>
    <x v="0"/>
    <d v="2021-07-26T00:00:00"/>
    <n v="438.8"/>
  </r>
  <r>
    <x v="21"/>
    <x v="1"/>
    <d v="2021-07-26T00:00:00"/>
    <n v="372.8"/>
  </r>
  <r>
    <x v="19"/>
    <x v="2"/>
    <d v="2021-07-26T00:00:00"/>
    <n v="336.40000000000003"/>
  </r>
  <r>
    <x v="5"/>
    <x v="0"/>
    <d v="2021-07-26T00:00:00"/>
    <n v="293.60000000000002"/>
  </r>
  <r>
    <x v="14"/>
    <x v="3"/>
    <d v="2021-07-26T00:00:00"/>
    <n v="144.4"/>
  </r>
  <r>
    <x v="3"/>
    <x v="1"/>
    <d v="2021-07-26T00:00:00"/>
    <n v="0"/>
  </r>
  <r>
    <x v="6"/>
    <x v="2"/>
    <d v="2021-07-26T00:00:00"/>
    <n v="0"/>
  </r>
  <r>
    <x v="10"/>
    <x v="0"/>
    <d v="2021-07-27T00:00:00"/>
    <n v="1599.6000000000001"/>
  </r>
  <r>
    <x v="9"/>
    <x v="0"/>
    <d v="2021-07-27T00:00:00"/>
    <n v="1430.4"/>
  </r>
  <r>
    <x v="7"/>
    <x v="1"/>
    <d v="2021-07-27T00:00:00"/>
    <n v="1056"/>
  </r>
  <r>
    <x v="6"/>
    <x v="2"/>
    <d v="2021-07-27T00:00:00"/>
    <n v="1000.8000000000001"/>
  </r>
  <r>
    <x v="1"/>
    <x v="0"/>
    <d v="2021-07-27T00:00:00"/>
    <n v="884.40000000000009"/>
  </r>
  <r>
    <x v="15"/>
    <x v="0"/>
    <d v="2021-07-27T00:00:00"/>
    <n v="841.6"/>
  </r>
  <r>
    <x v="2"/>
    <x v="1"/>
    <d v="2021-07-27T00:00:00"/>
    <n v="810.80000000000007"/>
  </r>
  <r>
    <x v="22"/>
    <x v="4"/>
    <d v="2021-07-27T00:00:00"/>
    <n v="800"/>
  </r>
  <r>
    <x v="5"/>
    <x v="0"/>
    <d v="2021-07-27T00:00:00"/>
    <n v="797.6"/>
  </r>
  <r>
    <x v="23"/>
    <x v="3"/>
    <d v="2021-07-27T00:00:00"/>
    <n v="778"/>
  </r>
  <r>
    <x v="8"/>
    <x v="2"/>
    <d v="2021-07-27T00:00:00"/>
    <n v="766.40000000000009"/>
  </r>
  <r>
    <x v="12"/>
    <x v="3"/>
    <d v="2021-07-27T00:00:00"/>
    <n v="759.2"/>
  </r>
  <r>
    <x v="16"/>
    <x v="1"/>
    <d v="2021-07-27T00:00:00"/>
    <n v="624"/>
  </r>
  <r>
    <x v="0"/>
    <x v="0"/>
    <d v="2021-07-27T00:00:00"/>
    <n v="621.6"/>
  </r>
  <r>
    <x v="18"/>
    <x v="4"/>
    <d v="2021-07-27T00:00:00"/>
    <n v="567.20000000000005"/>
  </r>
  <r>
    <x v="24"/>
    <x v="2"/>
    <d v="2021-07-27T00:00:00"/>
    <n v="534.4"/>
  </r>
  <r>
    <x v="20"/>
    <x v="3"/>
    <d v="2021-07-27T00:00:00"/>
    <n v="445.20000000000005"/>
  </r>
  <r>
    <x v="25"/>
    <x v="0"/>
    <d v="2021-07-27T00:00:00"/>
    <n v="435.6"/>
  </r>
  <r>
    <x v="19"/>
    <x v="2"/>
    <d v="2021-07-27T00:00:00"/>
    <n v="414.40000000000003"/>
  </r>
  <r>
    <x v="13"/>
    <x v="0"/>
    <d v="2021-07-27T00:00:00"/>
    <n v="369.20000000000005"/>
  </r>
  <r>
    <x v="4"/>
    <x v="1"/>
    <d v="2021-07-27T00:00:00"/>
    <n v="362"/>
  </r>
  <r>
    <x v="21"/>
    <x v="1"/>
    <d v="2021-07-27T00:00:00"/>
    <n v="354"/>
  </r>
  <r>
    <x v="17"/>
    <x v="1"/>
    <d v="2021-07-27T00:00:00"/>
    <n v="302.8"/>
  </r>
  <r>
    <x v="14"/>
    <x v="3"/>
    <d v="2021-07-27T00:00:00"/>
    <n v="178"/>
  </r>
  <r>
    <x v="3"/>
    <x v="1"/>
    <d v="2021-07-27T00:00:00"/>
    <n v="0"/>
  </r>
  <r>
    <x v="11"/>
    <x v="0"/>
    <d v="2021-07-27T00:00:00"/>
    <n v="1655.6000000000001"/>
  </r>
  <r>
    <x v="2"/>
    <x v="1"/>
    <d v="2021-07-28T00:00:00"/>
    <n v="1449.6000000000001"/>
  </r>
  <r>
    <x v="9"/>
    <x v="0"/>
    <d v="2021-07-28T00:00:00"/>
    <n v="1412.4"/>
  </r>
  <r>
    <x v="1"/>
    <x v="0"/>
    <d v="2021-07-28T00:00:00"/>
    <n v="1260.8000000000002"/>
  </r>
  <r>
    <x v="11"/>
    <x v="0"/>
    <d v="2021-07-28T00:00:00"/>
    <n v="1257.6000000000001"/>
  </r>
  <r>
    <x v="0"/>
    <x v="0"/>
    <d v="2021-07-28T00:00:00"/>
    <n v="1197.2"/>
  </r>
  <r>
    <x v="10"/>
    <x v="0"/>
    <d v="2021-07-28T00:00:00"/>
    <n v="1194"/>
  </r>
  <r>
    <x v="22"/>
    <x v="4"/>
    <d v="2021-07-28T00:00:00"/>
    <n v="1057.2"/>
  </r>
  <r>
    <x v="4"/>
    <x v="1"/>
    <d v="2021-07-28T00:00:00"/>
    <n v="939.2"/>
  </r>
  <r>
    <x v="5"/>
    <x v="0"/>
    <d v="2021-07-28T00:00:00"/>
    <n v="938"/>
  </r>
  <r>
    <x v="6"/>
    <x v="2"/>
    <d v="2021-07-28T00:00:00"/>
    <n v="932"/>
  </r>
  <r>
    <x v="16"/>
    <x v="1"/>
    <d v="2021-07-28T00:00:00"/>
    <n v="845.2"/>
  </r>
  <r>
    <x v="7"/>
    <x v="1"/>
    <d v="2021-07-28T00:00:00"/>
    <n v="743.2"/>
  </r>
  <r>
    <x v="15"/>
    <x v="0"/>
    <d v="2021-07-28T00:00:00"/>
    <n v="666.80000000000007"/>
  </r>
  <r>
    <x v="17"/>
    <x v="1"/>
    <d v="2021-07-28T00:00:00"/>
    <n v="648.40000000000009"/>
  </r>
  <r>
    <x v="12"/>
    <x v="3"/>
    <d v="2021-07-28T00:00:00"/>
    <n v="588.80000000000007"/>
  </r>
  <r>
    <x v="18"/>
    <x v="4"/>
    <d v="2021-07-28T00:00:00"/>
    <n v="542.80000000000007"/>
  </r>
  <r>
    <x v="24"/>
    <x v="2"/>
    <d v="2021-07-28T00:00:00"/>
    <n v="484.40000000000003"/>
  </r>
  <r>
    <x v="19"/>
    <x v="2"/>
    <d v="2021-07-28T00:00:00"/>
    <n v="398.8"/>
  </r>
  <r>
    <x v="20"/>
    <x v="3"/>
    <d v="2021-07-28T00:00:00"/>
    <n v="391.20000000000005"/>
  </r>
  <r>
    <x v="25"/>
    <x v="0"/>
    <d v="2021-07-28T00:00:00"/>
    <n v="354.8"/>
  </r>
  <r>
    <x v="13"/>
    <x v="0"/>
    <d v="2021-07-28T00:00:00"/>
    <n v="338.40000000000003"/>
  </r>
  <r>
    <x v="8"/>
    <x v="2"/>
    <d v="2021-07-28T00:00:00"/>
    <n v="338"/>
  </r>
  <r>
    <x v="21"/>
    <x v="1"/>
    <d v="2021-07-28T00:00:00"/>
    <n v="287.2"/>
  </r>
  <r>
    <x v="14"/>
    <x v="3"/>
    <d v="2021-07-28T00:00:00"/>
    <n v="220.8"/>
  </r>
  <r>
    <x v="3"/>
    <x v="1"/>
    <d v="2021-07-28T00:00:00"/>
    <n v="0"/>
  </r>
  <r>
    <x v="23"/>
    <x v="3"/>
    <d v="2021-07-28T00:00:00"/>
    <n v="1309.2"/>
  </r>
  <r>
    <x v="9"/>
    <x v="0"/>
    <d v="2021-07-29T00:00:00"/>
    <n v="1456.4"/>
  </r>
  <r>
    <x v="2"/>
    <x v="1"/>
    <d v="2021-07-29T00:00:00"/>
    <n v="1390"/>
  </r>
  <r>
    <x v="10"/>
    <x v="0"/>
    <d v="2021-07-29T00:00:00"/>
    <n v="1349.2"/>
  </r>
  <r>
    <x v="22"/>
    <x v="4"/>
    <d v="2021-07-29T00:00:00"/>
    <n v="1252"/>
  </r>
  <r>
    <x v="0"/>
    <x v="0"/>
    <d v="2021-07-29T00:00:00"/>
    <n v="1167.6000000000001"/>
  </r>
  <r>
    <x v="5"/>
    <x v="0"/>
    <d v="2021-07-29T00:00:00"/>
    <n v="1165.2"/>
  </r>
  <r>
    <x v="23"/>
    <x v="3"/>
    <d v="2021-07-29T00:00:00"/>
    <n v="1032.8"/>
  </r>
  <r>
    <x v="6"/>
    <x v="2"/>
    <d v="2021-07-29T00:00:00"/>
    <n v="952.80000000000007"/>
  </r>
  <r>
    <x v="7"/>
    <x v="1"/>
    <d v="2021-07-29T00:00:00"/>
    <n v="903.2"/>
  </r>
  <r>
    <x v="12"/>
    <x v="3"/>
    <d v="2021-07-29T00:00:00"/>
    <n v="752.80000000000007"/>
  </r>
  <r>
    <x v="15"/>
    <x v="0"/>
    <d v="2021-07-29T00:00:00"/>
    <n v="719.2"/>
  </r>
  <r>
    <x v="20"/>
    <x v="3"/>
    <d v="2021-07-29T00:00:00"/>
    <n v="684.40000000000009"/>
  </r>
  <r>
    <x v="16"/>
    <x v="1"/>
    <d v="2021-07-29T00:00:00"/>
    <n v="636"/>
  </r>
  <r>
    <x v="8"/>
    <x v="2"/>
    <d v="2021-07-29T00:00:00"/>
    <n v="566"/>
  </r>
  <r>
    <x v="21"/>
    <x v="1"/>
    <d v="2021-07-29T00:00:00"/>
    <n v="555.6"/>
  </r>
  <r>
    <x v="24"/>
    <x v="2"/>
    <d v="2021-07-29T00:00:00"/>
    <n v="542.4"/>
  </r>
  <r>
    <x v="18"/>
    <x v="4"/>
    <d v="2021-07-29T00:00:00"/>
    <n v="519.6"/>
  </r>
  <r>
    <x v="17"/>
    <x v="1"/>
    <d v="2021-07-29T00:00:00"/>
    <n v="484.40000000000003"/>
  </r>
  <r>
    <x v="14"/>
    <x v="3"/>
    <d v="2021-07-29T00:00:00"/>
    <n v="460"/>
  </r>
  <r>
    <x v="13"/>
    <x v="0"/>
    <d v="2021-07-29T00:00:00"/>
    <n v="407.20000000000005"/>
  </r>
  <r>
    <x v="19"/>
    <x v="2"/>
    <d v="2021-07-29T00:00:00"/>
    <n v="311.60000000000002"/>
  </r>
  <r>
    <x v="25"/>
    <x v="0"/>
    <d v="2021-07-29T00:00:00"/>
    <n v="295.60000000000002"/>
  </r>
  <r>
    <x v="3"/>
    <x v="1"/>
    <d v="2021-07-29T00:00:00"/>
    <n v="0"/>
  </r>
  <r>
    <x v="4"/>
    <x v="1"/>
    <d v="2021-07-29T00:00:00"/>
    <n v="0"/>
  </r>
  <r>
    <x v="1"/>
    <x v="0"/>
    <d v="2021-07-29T00:00:00"/>
    <n v="1330.8000000000002"/>
  </r>
  <r>
    <x v="11"/>
    <x v="0"/>
    <d v="2021-07-29T00:00:00"/>
    <n v="1880.4"/>
  </r>
  <r>
    <x v="1"/>
    <x v="0"/>
    <d v="2021-07-30T00:00:00"/>
    <n v="985.6"/>
  </r>
  <r>
    <x v="8"/>
    <x v="2"/>
    <d v="2021-07-30T00:00:00"/>
    <n v="869.2"/>
  </r>
  <r>
    <x v="9"/>
    <x v="0"/>
    <d v="2021-07-30T00:00:00"/>
    <n v="865.2"/>
  </r>
  <r>
    <x v="2"/>
    <x v="1"/>
    <d v="2021-07-30T00:00:00"/>
    <n v="741.2"/>
  </r>
  <r>
    <x v="5"/>
    <x v="0"/>
    <d v="2021-07-30T00:00:00"/>
    <n v="722"/>
  </r>
  <r>
    <x v="10"/>
    <x v="0"/>
    <d v="2021-07-30T00:00:00"/>
    <n v="716"/>
  </r>
  <r>
    <x v="22"/>
    <x v="4"/>
    <d v="2021-07-30T00:00:00"/>
    <n v="695.2"/>
  </r>
  <r>
    <x v="6"/>
    <x v="2"/>
    <d v="2021-07-30T00:00:00"/>
    <n v="684.40000000000009"/>
  </r>
  <r>
    <x v="11"/>
    <x v="0"/>
    <d v="2021-07-30T00:00:00"/>
    <n v="646.80000000000007"/>
  </r>
  <r>
    <x v="23"/>
    <x v="3"/>
    <d v="2021-07-30T00:00:00"/>
    <n v="618"/>
  </r>
  <r>
    <x v="12"/>
    <x v="3"/>
    <d v="2021-07-30T00:00:00"/>
    <n v="588"/>
  </r>
  <r>
    <x v="0"/>
    <x v="0"/>
    <d v="2021-07-30T00:00:00"/>
    <n v="519.20000000000005"/>
  </r>
  <r>
    <x v="20"/>
    <x v="3"/>
    <d v="2021-07-30T00:00:00"/>
    <n v="489.6"/>
  </r>
  <r>
    <x v="16"/>
    <x v="1"/>
    <d v="2021-07-30T00:00:00"/>
    <n v="445.20000000000005"/>
  </r>
  <r>
    <x v="17"/>
    <x v="1"/>
    <d v="2021-07-30T00:00:00"/>
    <n v="425.20000000000005"/>
  </r>
  <r>
    <x v="15"/>
    <x v="0"/>
    <d v="2021-07-30T00:00:00"/>
    <n v="411.6"/>
  </r>
  <r>
    <x v="21"/>
    <x v="1"/>
    <d v="2021-07-30T00:00:00"/>
    <n v="407.20000000000005"/>
  </r>
  <r>
    <x v="19"/>
    <x v="2"/>
    <d v="2021-07-30T00:00:00"/>
    <n v="308"/>
  </r>
  <r>
    <x v="18"/>
    <x v="4"/>
    <d v="2021-07-30T00:00:00"/>
    <n v="287.2"/>
  </r>
  <r>
    <x v="24"/>
    <x v="2"/>
    <d v="2021-07-30T00:00:00"/>
    <n v="253.20000000000002"/>
  </r>
  <r>
    <x v="14"/>
    <x v="3"/>
    <d v="2021-07-30T00:00:00"/>
    <n v="244"/>
  </r>
  <r>
    <x v="7"/>
    <x v="1"/>
    <d v="2021-07-30T00:00:00"/>
    <n v="206.8"/>
  </r>
  <r>
    <x v="13"/>
    <x v="0"/>
    <d v="2021-07-30T00:00:00"/>
    <n v="117.2"/>
  </r>
  <r>
    <x v="3"/>
    <x v="1"/>
    <d v="2021-07-30T00:00:00"/>
    <n v="0"/>
  </r>
  <r>
    <x v="25"/>
    <x v="0"/>
    <d v="2021-07-30T00:00:00"/>
    <n v="0"/>
  </r>
  <r>
    <x v="4"/>
    <x v="1"/>
    <d v="2021-07-30T00:00:00"/>
    <n v="0"/>
  </r>
  <r>
    <x v="22"/>
    <x v="4"/>
    <d v="2021-07-31T00:00:00"/>
    <n v="1143.2"/>
  </r>
  <r>
    <x v="9"/>
    <x v="0"/>
    <d v="2021-07-31T00:00:00"/>
    <n v="1085.2"/>
  </r>
  <r>
    <x v="6"/>
    <x v="2"/>
    <d v="2021-07-31T00:00:00"/>
    <n v="989.6"/>
  </r>
  <r>
    <x v="23"/>
    <x v="3"/>
    <d v="2021-07-31T00:00:00"/>
    <n v="830"/>
  </r>
  <r>
    <x v="1"/>
    <x v="0"/>
    <d v="2021-07-31T00:00:00"/>
    <n v="800"/>
  </r>
  <r>
    <x v="20"/>
    <x v="3"/>
    <d v="2021-07-31T00:00:00"/>
    <n v="723.6"/>
  </r>
  <r>
    <x v="10"/>
    <x v="0"/>
    <d v="2021-07-31T00:00:00"/>
    <n v="723.2"/>
  </r>
  <r>
    <x v="11"/>
    <x v="0"/>
    <d v="2021-07-31T00:00:00"/>
    <n v="694"/>
  </r>
  <r>
    <x v="15"/>
    <x v="0"/>
    <d v="2021-07-31T00:00:00"/>
    <n v="661.6"/>
  </r>
  <r>
    <x v="18"/>
    <x v="4"/>
    <d v="2021-07-31T00:00:00"/>
    <n v="640"/>
  </r>
  <r>
    <x v="21"/>
    <x v="1"/>
    <d v="2021-07-31T00:00:00"/>
    <n v="483.6"/>
  </r>
  <r>
    <x v="12"/>
    <x v="3"/>
    <d v="2021-07-31T00:00:00"/>
    <n v="452.8"/>
  </r>
  <r>
    <x v="5"/>
    <x v="0"/>
    <d v="2021-07-31T00:00:00"/>
    <n v="431.6"/>
  </r>
  <r>
    <x v="0"/>
    <x v="0"/>
    <d v="2021-07-31T00:00:00"/>
    <n v="425.20000000000005"/>
  </r>
  <r>
    <x v="19"/>
    <x v="2"/>
    <d v="2021-07-31T00:00:00"/>
    <n v="418"/>
  </r>
  <r>
    <x v="16"/>
    <x v="1"/>
    <d v="2021-07-31T00:00:00"/>
    <n v="411.20000000000005"/>
  </r>
  <r>
    <x v="14"/>
    <x v="3"/>
    <d v="2021-07-31T00:00:00"/>
    <n v="323.60000000000002"/>
  </r>
  <r>
    <x v="13"/>
    <x v="0"/>
    <d v="2021-07-31T00:00:00"/>
    <n v="265.2"/>
  </r>
  <r>
    <x v="17"/>
    <x v="1"/>
    <d v="2021-07-31T00:00:00"/>
    <n v="202.8"/>
  </r>
  <r>
    <x v="7"/>
    <x v="1"/>
    <d v="2021-07-31T00:00:00"/>
    <n v="191.60000000000002"/>
  </r>
  <r>
    <x v="24"/>
    <x v="2"/>
    <d v="2021-07-31T00:00:00"/>
    <n v="107.2"/>
  </r>
  <r>
    <x v="8"/>
    <x v="2"/>
    <d v="2021-07-31T00:00:00"/>
    <n v="0"/>
  </r>
  <r>
    <x v="3"/>
    <x v="1"/>
    <d v="2021-07-31T00:00:00"/>
    <n v="0"/>
  </r>
  <r>
    <x v="25"/>
    <x v="0"/>
    <d v="2021-07-31T00:00:00"/>
    <n v="0"/>
  </r>
  <r>
    <x v="4"/>
    <x v="1"/>
    <d v="2021-07-31T00:00:00"/>
    <n v="0"/>
  </r>
  <r>
    <x v="2"/>
    <x v="1"/>
    <d v="2021-07-31T00:00:00"/>
    <n v="1298"/>
  </r>
  <r>
    <x v="26"/>
    <x v="5"/>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25ABD42-53A3-45D6-9190-B5EEF6C49280}" name="Area vs revenue" cacheId="4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4">
  <location ref="A3:B9"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Sum of Revenue" fld="1" baseField="0" baseItem="0"/>
  </dataField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16">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D">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6FDDB05-1CDE-4E06-A19C-0B7630203C45}" name="PivotTable5" cacheId="4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
  <location ref="A3:B8"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16">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D">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400397D-3D4A-4F5C-8D96-5D55CB5F31A9}" name="PivotTable6" cacheId="6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3:B30" firstHeaderRow="1" firstDataRow="1" firstDataCol="1"/>
  <pivotFields count="3">
    <pivotField axis="axisRow" allDrilled="1" subtotalTop="0" showAll="0" dataSourceSort="1" defaultSubtotal="0" defaultAttributeDrillState="1">
      <items count="26">
        <item x="0"/>
        <item x="1"/>
        <item x="2"/>
        <item x="3"/>
        <item x="4"/>
        <item x="5"/>
        <item x="6"/>
        <item x="7"/>
        <item x="8"/>
        <item x="9"/>
        <item x="10"/>
        <item x="11"/>
        <item x="12"/>
        <item x="13"/>
        <item x="14"/>
        <item x="15"/>
        <item x="16"/>
        <item x="17"/>
        <item x="18"/>
        <item x="19"/>
        <item x="20"/>
        <item x="21"/>
        <item x="22"/>
        <item x="23"/>
        <item x="24"/>
        <item x="25"/>
      </items>
    </pivotField>
    <pivotField dataField="1" subtotalTop="0" showAll="0" defaultSubtotal="0"/>
    <pivotField allDrilled="1" subtotalTop="0" showAll="0" dataSourceSort="1" defaultSubtotal="0" defaultAttributeDrillState="1"/>
  </pivotFields>
  <rowFields count="1">
    <field x="0"/>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Items count="1">
    <i/>
  </colItems>
  <dataFields count="1">
    <dataField name="Sum of Revenue"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16">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D">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401733F-E172-4E85-8BB1-297C2A101B9D}" name="Summerzize_data"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4:E5" firstHeaderRow="1" firstDataRow="1" firstDataCol="0"/>
  <pivotFields count="4">
    <pivotField showAll="0">
      <items count="28">
        <item x="8"/>
        <item x="14"/>
        <item x="11"/>
        <item x="2"/>
        <item x="23"/>
        <item x="17"/>
        <item x="18"/>
        <item x="3"/>
        <item x="15"/>
        <item x="0"/>
        <item x="6"/>
        <item x="20"/>
        <item x="1"/>
        <item x="21"/>
        <item x="16"/>
        <item x="7"/>
        <item x="5"/>
        <item x="10"/>
        <item x="9"/>
        <item x="25"/>
        <item x="24"/>
        <item x="4"/>
        <item x="19"/>
        <item x="22"/>
        <item x="12"/>
        <item x="13"/>
        <item x="26"/>
        <item t="default"/>
      </items>
    </pivotField>
    <pivotField showAll="0">
      <items count="7">
        <item x="2"/>
        <item x="3"/>
        <item x="0"/>
        <item x="1"/>
        <item x="4"/>
        <item x="5"/>
        <item t="default"/>
      </items>
    </pivotField>
    <pivotField showAll="0"/>
    <pivotField dataField="1" showAll="0"/>
  </pivotFields>
  <rowItems count="1">
    <i/>
  </rowItems>
  <colItems count="1">
    <i/>
  </colItems>
  <dataFields count="1">
    <dataField name="Sum of Revenue "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6E191B0-4B28-4EF5-BCA2-16E50728A806}" name="Max_branch" cacheId="5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9" firstHeaderRow="1" firstDataRow="1" firstDataCol="1" rowPageCount="1" colPageCount="1"/>
  <pivotFields count="4">
    <pivotField axis="axisPage" allDrilled="1" subtotalTop="0" showAll="0" dataSourceSort="1" defaultSubtotal="0" defaultAttributeDrillState="1"/>
    <pivotField axis="axisRow" allDrilled="1"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6">
    <i>
      <x v="4"/>
    </i>
    <i>
      <x v="3"/>
    </i>
    <i>
      <x v="1"/>
    </i>
    <i>
      <x/>
    </i>
    <i>
      <x v="2"/>
    </i>
    <i t="grand">
      <x/>
    </i>
  </rowItems>
  <colItems count="1">
    <i/>
  </colItems>
  <pageFields count="1">
    <pageField fld="0" hier="1" name="[Range].[Area].[All]" cap="All"/>
  </pageFields>
  <dataFields count="1">
    <dataField name="Sum of Revenue" fld="2" baseField="0" baseItem="0"/>
  </dataFields>
  <pivotHierarchies count="16">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13">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D">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EFB19AF-6305-4980-8F72-CFE9A4D3A150}" name="PivotTable5" cacheId="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E19:F20" firstHeaderRow="0" firstDataRow="1" firstDataCol="0"/>
  <pivotFields count="3">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2">
    <i>
      <x/>
    </i>
    <i i="1">
      <x v="1"/>
    </i>
  </colItems>
  <dataFields count="2">
    <dataField name="Sum of Revenue" fld="0" baseField="0" baseItem="0"/>
    <dataField name="Distinct Count of Store Name" fld="1" subtotal="count" baseField="0" baseItem="1">
      <extLst>
        <ext xmlns:x15="http://schemas.microsoft.com/office/spreadsheetml/2010/11/main" uri="{FABC7310-3BB5-11E1-824E-6D434824019B}">
          <x15:dataField isCountDistinct="1"/>
        </ext>
      </extLst>
    </dataField>
  </dataFields>
  <pivotHierarchies count="16">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Distinct Count of Store Name"/>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D">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645677-EECC-4418-B392-D1B85D85A785}" name="PivotTable8" cacheId="52" applyNumberFormats="0" applyBorderFormats="0" applyFontFormats="0" applyPatternFormats="0" applyAlignmentFormats="0" applyWidthHeightFormats="1" dataCaption="Values" updatedVersion="8" minRefreshableVersion="3" showDrill="0" useAutoFormatting="1" subtotalHiddenItems="1" itemPrintTitles="1" createdVersion="8" indent="0" compact="0" compactData="0" multipleFieldFilters="0" rowHeaderCaption="Branch">
  <location ref="S11:T17" firstHeaderRow="1" firstDataRow="1" firstDataCol="1"/>
  <pivotFields count="3">
    <pivotField axis="axisRow" compact="0" allDrilled="1" outline="0" subtotalTop="0" showAll="0" measureFilter="1"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compact="0" outline="0" subtotalTop="0" showAll="0" defaultSubtotal="0"/>
    <pivotField compact="0" allDrilled="1" outline="0" subtotalTop="0" showAll="0" dataSourceSort="1" defaultSubtotal="0" defaultAttributeDrillState="1"/>
  </pivotFields>
  <rowFields count="1">
    <field x="0"/>
  </rowFields>
  <rowItems count="6">
    <i>
      <x v="4"/>
    </i>
    <i>
      <x v="3"/>
    </i>
    <i>
      <x v="1"/>
    </i>
    <i>
      <x/>
    </i>
    <i>
      <x v="2"/>
    </i>
    <i t="grand">
      <x/>
    </i>
  </rowItems>
  <colItems count="1">
    <i/>
  </colItems>
  <dataFields count="1">
    <dataField name="Sum of Revenue" fld="1" baseField="0" baseItem="0"/>
  </dataFields>
  <formats count="32">
    <format dxfId="127">
      <pivotArea dataOnly="0" labelOnly="1" outline="0" axis="axisValues" fieldPosition="0"/>
    </format>
    <format dxfId="126">
      <pivotArea outline="0" collapsedLevelsAreSubtotals="1" fieldPosition="0"/>
    </format>
    <format dxfId="125">
      <pivotArea dataOnly="0" labelOnly="1" grandRow="1" outline="0" fieldPosition="0"/>
    </format>
    <format dxfId="124">
      <pivotArea outline="0" collapsedLevelsAreSubtotals="1" fieldPosition="0"/>
    </format>
    <format dxfId="123">
      <pivotArea dataOnly="0" labelOnly="1" grandRow="1" outline="0" fieldPosition="0"/>
    </format>
    <format dxfId="122">
      <pivotArea dataOnly="0" labelOnly="1" outline="0" axis="axisValues" fieldPosition="0"/>
    </format>
    <format dxfId="121">
      <pivotArea type="all" dataOnly="0" outline="0" fieldPosition="0"/>
    </format>
    <format dxfId="120">
      <pivotArea outline="0" collapsedLevelsAreSubtotals="1" fieldPosition="0"/>
    </format>
    <format dxfId="119">
      <pivotArea field="0" type="button" dataOnly="0" labelOnly="1" outline="0" axis="axisRow" fieldPosition="0"/>
    </format>
    <format dxfId="118">
      <pivotArea dataOnly="0" labelOnly="1" fieldPosition="0">
        <references count="1">
          <reference field="0" count="0"/>
        </references>
      </pivotArea>
    </format>
    <format dxfId="117">
      <pivotArea dataOnly="0" labelOnly="1" grandRow="1" outline="0" fieldPosition="0"/>
    </format>
    <format dxfId="116">
      <pivotArea dataOnly="0" labelOnly="1" outline="0" axis="axisValues" fieldPosition="0"/>
    </format>
    <format dxfId="115">
      <pivotArea field="0" type="button" dataOnly="0" labelOnly="1" outline="0" axis="axisRow" fieldPosition="0"/>
    </format>
    <format dxfId="114">
      <pivotArea dataOnly="0" labelOnly="1" outline="0" axis="axisValues" fieldPosition="0"/>
    </format>
    <format dxfId="113">
      <pivotArea outline="0" collapsedLevelsAreSubtotals="1" fieldPosition="0"/>
    </format>
    <format dxfId="112">
      <pivotArea dataOnly="0" labelOnly="1" fieldPosition="0">
        <references count="1">
          <reference field="0" count="0"/>
        </references>
      </pivotArea>
    </format>
    <format dxfId="111">
      <pivotArea dataOnly="0" labelOnly="1" grandRow="1" outline="0" fieldPosition="0"/>
    </format>
    <format dxfId="110">
      <pivotArea outline="0" collapsedLevelsAreSubtotals="1" fieldPosition="0"/>
    </format>
    <format dxfId="109">
      <pivotArea dataOnly="0" labelOnly="1" fieldPosition="0">
        <references count="1">
          <reference field="0" count="0"/>
        </references>
      </pivotArea>
    </format>
    <format dxfId="108">
      <pivotArea dataOnly="0" labelOnly="1" grandRow="1" outline="0" fieldPosition="0"/>
    </format>
    <format dxfId="107">
      <pivotArea type="all" dataOnly="0" outline="0" fieldPosition="0"/>
    </format>
    <format dxfId="106">
      <pivotArea outline="0" collapsedLevelsAreSubtotals="1" fieldPosition="0"/>
    </format>
    <format dxfId="105">
      <pivotArea field="0" type="button" dataOnly="0" labelOnly="1" outline="0" axis="axisRow" fieldPosition="0"/>
    </format>
    <format dxfId="104">
      <pivotArea dataOnly="0" labelOnly="1" outline="0" fieldPosition="0">
        <references count="1">
          <reference field="0" count="0"/>
        </references>
      </pivotArea>
    </format>
    <format dxfId="103">
      <pivotArea dataOnly="0" labelOnly="1" grandRow="1" outline="0" fieldPosition="0"/>
    </format>
    <format dxfId="102">
      <pivotArea dataOnly="0" labelOnly="1" outline="0" axis="axisValues" fieldPosition="0"/>
    </format>
    <format dxfId="101">
      <pivotArea type="all" dataOnly="0" outline="0" fieldPosition="0"/>
    </format>
    <format dxfId="100">
      <pivotArea outline="0" collapsedLevelsAreSubtotals="1" fieldPosition="0"/>
    </format>
    <format dxfId="99">
      <pivotArea field="0" type="button" dataOnly="0" labelOnly="1" outline="0" axis="axisRow" fieldPosition="0"/>
    </format>
    <format dxfId="98">
      <pivotArea dataOnly="0" labelOnly="1" outline="0" fieldPosition="0">
        <references count="1">
          <reference field="0" count="0"/>
        </references>
      </pivotArea>
    </format>
    <format dxfId="97">
      <pivotArea dataOnly="0" labelOnly="1" grandRow="1" outline="0" fieldPosition="0"/>
    </format>
    <format dxfId="96">
      <pivotArea dataOnly="0" labelOnly="1" outline="0" axis="axisValues" fieldPosition="0"/>
    </format>
  </formats>
  <pivotHierarchies count="16">
    <pivotHierarchy dragToData="1"/>
    <pivotHierarchy multipleItemSelectionAllowed="1"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8" showRowHeaders="0" showColHeaders="1" showRowStripes="1" showColStripes="1" showLastColumn="1"/>
  <filters count="1">
    <filter fld="0" type="count" id="1" iMeasureHier="13">
      <autoFilter ref="A1">
        <filterColumn colId="0">
          <top10 val="5" filterVal="5"/>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rea" xr10:uid="{77FECB25-92EA-4726-94B8-DA1316FEAF4B}" sourceName="[Range].[Area]">
  <pivotTables>
    <pivotTable tabId="8" name="PivotTable6"/>
    <pivotTable tabId="5" name="Area vs revenue"/>
    <pivotTable tabId="7" name="PivotTable5"/>
    <pivotTable tabId="10" name="Max_branch"/>
    <pivotTable tabId="10" name="PivotTable5"/>
    <pivotTable tabId="3" name="PivotTable8"/>
  </pivotTables>
  <data>
    <olap pivotCacheId="586840585">
      <levels count="2">
        <level uniqueName="[Range].[Area].[(All)]" sourceCaption="(All)" count="0"/>
        <level uniqueName="[Range].[Area].[Area]" sourceCaption="Area" count="6">
          <ranges>
            <range startItem="0">
              <i n="[Range].[Area].&amp;[Alexandria]" c="Alexandria"/>
              <i n="[Range].[Area].&amp;[Downtown]" c="Downtown"/>
              <i n="[Range].[Area].&amp;[Heliopolis]" c="Heliopolis"/>
              <i n="[Range].[Area].&amp;[New Cairo]" c="New Cairo"/>
              <i n="[Range].[Area].&amp;[October]" c="October"/>
              <i n="[Range].[Area].&amp;" c="(blank)"/>
            </range>
          </ranges>
        </level>
      </levels>
      <selections count="1">
        <selection n="[Range].[Area].[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0B12AD6B-EDE5-4DB1-8A66-6F71574A4CAF}" sourceName="[Range].[Date (Month)]">
  <pivotTables>
    <pivotTable tabId="7" name="PivotTable5"/>
    <pivotTable tabId="5" name="Area vs revenue"/>
    <pivotTable tabId="3" name="PivotTable8"/>
    <pivotTable tabId="10" name="Max_branch"/>
    <pivotTable tabId="10" name="PivotTable5"/>
    <pivotTable tabId="8" name="PivotTable6"/>
  </pivotTables>
  <data>
    <olap pivotCacheId="586840585">
      <levels count="2">
        <level uniqueName="[Range].[Date (Month)].[(All)]" sourceCaption="(All)" count="0"/>
        <level uniqueName="[Range].[Date (Month)].[Date (Month)]" sourceCaption="Date (Month)" count="5">
          <ranges>
            <range startItem="0">
              <i n="[Range].[Date (Month)].&amp;[]" c=""/>
              <i n="[Range].[Date (Month)].&amp;[أبريل]" c="أبريل"/>
              <i n="[Range].[Date (Month)].&amp;[مايو]" c="مايو"/>
              <i n="[Range].[Date (Month)].&amp;[يونيو]" c="يونيو"/>
              <i n="[Range].[Date (Month)].&amp;[يوليو]" c="يوليو"/>
            </range>
          </ranges>
        </level>
      </levels>
      <selections count="1">
        <selection n="[Range].[Date (Month)].[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xr10:uid="{244F6323-8B65-4755-B6D3-384F9CCF1F4D}" cache="Slicer_Area" caption="Area"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rea 1" xr10:uid="{427A8922-D676-4C79-BC71-9C133081ECED}" cache="Slicer_Area" caption="Area" columnCount="5" level="1" style="SlicerStyleLight4" rowHeight="576000"/>
  <slicer name="Date (Month)" xr10:uid="{A65023AF-EB1B-46A1-AFEE-885AB51BB6F5}" cache="Slicer_Date__Month" caption="Month" columnCount="4" level="1" style="SlicerStyleLight4"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924BD-AA03-4F92-B18B-A065F3441552}">
  <sheetPr codeName="Sheet1"/>
  <dimension ref="A3:B9"/>
  <sheetViews>
    <sheetView workbookViewId="0">
      <selection activeCell="L24" sqref="L24"/>
    </sheetView>
  </sheetViews>
  <sheetFormatPr defaultRowHeight="14.4" x14ac:dyDescent="0.55000000000000004"/>
  <cols>
    <col min="1" max="1" width="12.05078125" bestFit="1" customWidth="1"/>
    <col min="2" max="2" width="13.9453125" bestFit="1" customWidth="1"/>
  </cols>
  <sheetData>
    <row r="3" spans="1:2" x14ac:dyDescent="0.55000000000000004">
      <c r="A3" s="6" t="s">
        <v>42</v>
      </c>
      <c r="B3" t="s">
        <v>46</v>
      </c>
    </row>
    <row r="4" spans="1:2" x14ac:dyDescent="0.55000000000000004">
      <c r="A4" s="7" t="s">
        <v>48</v>
      </c>
      <c r="B4" s="16">
        <v>219157.59999999998</v>
      </c>
    </row>
    <row r="5" spans="1:2" x14ac:dyDescent="0.55000000000000004">
      <c r="A5" s="7" t="s">
        <v>11</v>
      </c>
      <c r="B5" s="16">
        <v>679891.59999999974</v>
      </c>
    </row>
    <row r="6" spans="1:2" x14ac:dyDescent="0.55000000000000004">
      <c r="A6" s="7" t="s">
        <v>35</v>
      </c>
      <c r="B6" s="16">
        <v>445994.39999999944</v>
      </c>
    </row>
    <row r="7" spans="1:2" x14ac:dyDescent="0.55000000000000004">
      <c r="A7" s="7" t="s">
        <v>36</v>
      </c>
      <c r="B7" s="16">
        <v>200837.60000000006</v>
      </c>
    </row>
    <row r="8" spans="1:2" x14ac:dyDescent="0.55000000000000004">
      <c r="A8" s="7" t="s">
        <v>37</v>
      </c>
      <c r="B8" s="16">
        <v>215842.40000000002</v>
      </c>
    </row>
    <row r="9" spans="1:2" x14ac:dyDescent="0.55000000000000004">
      <c r="A9" s="7" t="s">
        <v>43</v>
      </c>
      <c r="B9" s="16">
        <v>1761723.6</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A02E4-4554-4538-A463-238C9201202F}">
  <sheetPr codeName="Sheet2"/>
  <dimension ref="A3:B8"/>
  <sheetViews>
    <sheetView workbookViewId="0">
      <selection activeCell="B11" sqref="B11"/>
    </sheetView>
  </sheetViews>
  <sheetFormatPr defaultRowHeight="14.4" x14ac:dyDescent="0.55000000000000004"/>
  <cols>
    <col min="1" max="1" width="12.05078125" bestFit="1" customWidth="1"/>
    <col min="2" max="2" width="13.9453125" bestFit="1" customWidth="1"/>
  </cols>
  <sheetData>
    <row r="3" spans="1:2" x14ac:dyDescent="0.55000000000000004">
      <c r="A3" s="6" t="s">
        <v>42</v>
      </c>
      <c r="B3" t="s">
        <v>46</v>
      </c>
    </row>
    <row r="4" spans="1:2" x14ac:dyDescent="0.55000000000000004">
      <c r="A4" s="7" t="s">
        <v>53</v>
      </c>
      <c r="B4" s="16">
        <v>233321.59999999969</v>
      </c>
    </row>
    <row r="5" spans="1:2" x14ac:dyDescent="0.55000000000000004">
      <c r="A5" s="7" t="s">
        <v>54</v>
      </c>
      <c r="B5" s="16">
        <v>396561.19999999972</v>
      </c>
    </row>
    <row r="6" spans="1:2" x14ac:dyDescent="0.55000000000000004">
      <c r="A6" s="7" t="s">
        <v>47</v>
      </c>
      <c r="B6" s="16">
        <v>589126.79999999981</v>
      </c>
    </row>
    <row r="7" spans="1:2" x14ac:dyDescent="0.55000000000000004">
      <c r="A7" s="7" t="s">
        <v>55</v>
      </c>
      <c r="B7" s="16">
        <v>542713.99999999942</v>
      </c>
    </row>
    <row r="8" spans="1:2" x14ac:dyDescent="0.55000000000000004">
      <c r="A8" s="7" t="s">
        <v>43</v>
      </c>
      <c r="B8" s="16">
        <v>1761723.6</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04894C-3F78-4FDA-80F0-95247C863B28}">
  <sheetPr codeName="Sheet3"/>
  <dimension ref="A3:B30"/>
  <sheetViews>
    <sheetView workbookViewId="0">
      <selection activeCell="U11" sqref="U11"/>
    </sheetView>
  </sheetViews>
  <sheetFormatPr defaultRowHeight="14.4" x14ac:dyDescent="0.55000000000000004"/>
  <cols>
    <col min="1" max="1" width="15.83984375" bestFit="1" customWidth="1"/>
    <col min="2" max="2" width="13.9453125" bestFit="1" customWidth="1"/>
  </cols>
  <sheetData>
    <row r="3" spans="1:2" x14ac:dyDescent="0.55000000000000004">
      <c r="A3" s="6" t="s">
        <v>42</v>
      </c>
      <c r="B3" t="s">
        <v>46</v>
      </c>
    </row>
    <row r="4" spans="1:2" x14ac:dyDescent="0.55000000000000004">
      <c r="A4" s="7" t="s">
        <v>25</v>
      </c>
      <c r="B4" s="16">
        <v>90054.799999999974</v>
      </c>
    </row>
    <row r="5" spans="1:2" x14ac:dyDescent="0.55000000000000004">
      <c r="A5" s="7" t="s">
        <v>6</v>
      </c>
      <c r="B5" s="16">
        <v>37700.800000000003</v>
      </c>
    </row>
    <row r="6" spans="1:2" x14ac:dyDescent="0.55000000000000004">
      <c r="A6" s="7" t="s">
        <v>19</v>
      </c>
      <c r="B6" s="16">
        <v>103708.80000000002</v>
      </c>
    </row>
    <row r="7" spans="1:2" x14ac:dyDescent="0.55000000000000004">
      <c r="A7" s="7" t="s">
        <v>21</v>
      </c>
      <c r="B7" s="16">
        <v>104645.60000000005</v>
      </c>
    </row>
    <row r="8" spans="1:2" x14ac:dyDescent="0.55000000000000004">
      <c r="A8" s="7" t="s">
        <v>27</v>
      </c>
      <c r="B8" s="16">
        <v>63990.000000000007</v>
      </c>
    </row>
    <row r="9" spans="1:2" x14ac:dyDescent="0.55000000000000004">
      <c r="A9" s="7" t="s">
        <v>23</v>
      </c>
      <c r="B9" s="16">
        <v>36045.599999999991</v>
      </c>
    </row>
    <row r="10" spans="1:2" x14ac:dyDescent="0.55000000000000004">
      <c r="A10" s="7" t="s">
        <v>11</v>
      </c>
      <c r="B10" s="16">
        <v>55905.999999999993</v>
      </c>
    </row>
    <row r="11" spans="1:2" x14ac:dyDescent="0.55000000000000004">
      <c r="A11" s="7" t="s">
        <v>22</v>
      </c>
      <c r="B11" s="16">
        <v>99682.000000000044</v>
      </c>
    </row>
    <row r="12" spans="1:2" x14ac:dyDescent="0.55000000000000004">
      <c r="A12" s="7" t="s">
        <v>3</v>
      </c>
      <c r="B12" s="16">
        <v>68434.400000000009</v>
      </c>
    </row>
    <row r="13" spans="1:2" x14ac:dyDescent="0.55000000000000004">
      <c r="A13" s="7" t="s">
        <v>0</v>
      </c>
      <c r="B13" s="16">
        <v>120517.6</v>
      </c>
    </row>
    <row r="14" spans="1:2" x14ac:dyDescent="0.55000000000000004">
      <c r="A14" s="7" t="s">
        <v>24</v>
      </c>
      <c r="B14" s="16">
        <v>85737.999999999971</v>
      </c>
    </row>
    <row r="15" spans="1:2" x14ac:dyDescent="0.55000000000000004">
      <c r="A15" s="7" t="s">
        <v>10</v>
      </c>
      <c r="B15" s="16">
        <v>55490.400000000001</v>
      </c>
    </row>
    <row r="16" spans="1:2" x14ac:dyDescent="0.55000000000000004">
      <c r="A16" s="7" t="s">
        <v>16</v>
      </c>
      <c r="B16" s="16">
        <v>91899.599999999977</v>
      </c>
    </row>
    <row r="17" spans="1:2" x14ac:dyDescent="0.55000000000000004">
      <c r="A17" s="7" t="s">
        <v>15</v>
      </c>
      <c r="B17" s="16">
        <v>40611.599999999999</v>
      </c>
    </row>
    <row r="18" spans="1:2" x14ac:dyDescent="0.55000000000000004">
      <c r="A18" s="7" t="s">
        <v>13</v>
      </c>
      <c r="B18" s="16">
        <v>57567.199999999997</v>
      </c>
    </row>
    <row r="19" spans="1:2" x14ac:dyDescent="0.55000000000000004">
      <c r="A19" s="7" t="s">
        <v>8</v>
      </c>
      <c r="B19" s="16">
        <v>48346.8</v>
      </c>
    </row>
    <row r="20" spans="1:2" x14ac:dyDescent="0.55000000000000004">
      <c r="A20" s="7" t="s">
        <v>2</v>
      </c>
      <c r="B20" s="16">
        <v>72385.600000000035</v>
      </c>
    </row>
    <row r="21" spans="1:2" x14ac:dyDescent="0.55000000000000004">
      <c r="A21" s="7" t="s">
        <v>1</v>
      </c>
      <c r="B21" s="16">
        <v>82883.200000000012</v>
      </c>
    </row>
    <row r="22" spans="1:2" x14ac:dyDescent="0.55000000000000004">
      <c r="A22" s="7" t="s">
        <v>20</v>
      </c>
      <c r="B22" s="16">
        <v>98424.799999999974</v>
      </c>
    </row>
    <row r="23" spans="1:2" x14ac:dyDescent="0.55000000000000004">
      <c r="A23" s="7" t="s">
        <v>29</v>
      </c>
      <c r="B23" s="16">
        <v>5080.0000000000018</v>
      </c>
    </row>
    <row r="24" spans="1:2" x14ac:dyDescent="0.55000000000000004">
      <c r="A24" s="7" t="s">
        <v>30</v>
      </c>
      <c r="B24" s="16">
        <v>13552.800000000001</v>
      </c>
    </row>
    <row r="25" spans="1:2" x14ac:dyDescent="0.55000000000000004">
      <c r="A25" s="7" t="s">
        <v>17</v>
      </c>
      <c r="B25" s="16">
        <v>59095.6</v>
      </c>
    </row>
    <row r="26" spans="1:2" x14ac:dyDescent="0.55000000000000004">
      <c r="A26" s="7" t="s">
        <v>7</v>
      </c>
      <c r="B26" s="16">
        <v>26496.799999999999</v>
      </c>
    </row>
    <row r="27" spans="1:2" x14ac:dyDescent="0.55000000000000004">
      <c r="A27" s="7" t="s">
        <v>12</v>
      </c>
      <c r="B27" s="16">
        <v>144931.60000000006</v>
      </c>
    </row>
    <row r="28" spans="1:2" x14ac:dyDescent="0.55000000000000004">
      <c r="A28" s="7" t="s">
        <v>9</v>
      </c>
      <c r="B28" s="16">
        <v>61976.399999999987</v>
      </c>
    </row>
    <row r="29" spans="1:2" x14ac:dyDescent="0.55000000000000004">
      <c r="A29" s="7" t="s">
        <v>4</v>
      </c>
      <c r="B29" s="16">
        <v>36557.599999999969</v>
      </c>
    </row>
    <row r="30" spans="1:2" x14ac:dyDescent="0.55000000000000004">
      <c r="A30" s="7" t="s">
        <v>43</v>
      </c>
      <c r="B30" s="16">
        <v>1761723.6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598E8C-52BA-4F9E-857B-9A561EFD0B58}">
  <sheetPr codeName="Sheet4"/>
  <dimension ref="A1:F20"/>
  <sheetViews>
    <sheetView workbookViewId="0">
      <selection activeCell="F20" sqref="F20"/>
    </sheetView>
  </sheetViews>
  <sheetFormatPr defaultRowHeight="14.4" x14ac:dyDescent="0.55000000000000004"/>
  <cols>
    <col min="1" max="1" width="12.05078125" bestFit="1" customWidth="1"/>
    <col min="2" max="2" width="13.9453125" bestFit="1" customWidth="1"/>
    <col min="5" max="5" width="13.9453125" bestFit="1" customWidth="1"/>
    <col min="6" max="6" width="24.3671875" bestFit="1" customWidth="1"/>
  </cols>
  <sheetData>
    <row r="1" spans="1:5" x14ac:dyDescent="0.55000000000000004">
      <c r="A1" s="6" t="s">
        <v>39</v>
      </c>
      <c r="B1" t="s" vm="1">
        <v>52</v>
      </c>
    </row>
    <row r="3" spans="1:5" x14ac:dyDescent="0.55000000000000004">
      <c r="A3" s="6" t="s">
        <v>42</v>
      </c>
      <c r="B3" t="s">
        <v>46</v>
      </c>
    </row>
    <row r="4" spans="1:5" x14ac:dyDescent="0.55000000000000004">
      <c r="A4" s="7" t="s">
        <v>12</v>
      </c>
      <c r="B4" s="16">
        <v>144931.60000000006</v>
      </c>
      <c r="E4" t="s">
        <v>49</v>
      </c>
    </row>
    <row r="5" spans="1:5" x14ac:dyDescent="0.55000000000000004">
      <c r="A5" s="7" t="s">
        <v>0</v>
      </c>
      <c r="B5" s="16">
        <v>120517.6</v>
      </c>
      <c r="E5">
        <v>1761723.6</v>
      </c>
    </row>
    <row r="6" spans="1:5" x14ac:dyDescent="0.55000000000000004">
      <c r="A6" s="7" t="s">
        <v>21</v>
      </c>
      <c r="B6" s="16">
        <v>104645.60000000005</v>
      </c>
    </row>
    <row r="7" spans="1:5" x14ac:dyDescent="0.55000000000000004">
      <c r="A7" s="7" t="s">
        <v>19</v>
      </c>
      <c r="B7" s="16">
        <v>103708.80000000002</v>
      </c>
    </row>
    <row r="8" spans="1:5" x14ac:dyDescent="0.55000000000000004">
      <c r="A8" s="7" t="s">
        <v>22</v>
      </c>
      <c r="B8" s="16">
        <v>99682.000000000044</v>
      </c>
    </row>
    <row r="9" spans="1:5" x14ac:dyDescent="0.55000000000000004">
      <c r="A9" s="7" t="s">
        <v>43</v>
      </c>
      <c r="B9" s="16">
        <v>573485.59999999916</v>
      </c>
    </row>
    <row r="19" spans="5:6" x14ac:dyDescent="0.55000000000000004">
      <c r="E19" t="s">
        <v>46</v>
      </c>
      <c r="F19" t="s">
        <v>50</v>
      </c>
    </row>
    <row r="20" spans="5:6" x14ac:dyDescent="0.55000000000000004">
      <c r="E20" s="16">
        <v>1761723.6</v>
      </c>
      <c r="F20" s="16">
        <v>27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5" filterMode="1"/>
  <dimension ref="A1:F2928"/>
  <sheetViews>
    <sheetView zoomScale="130" zoomScaleNormal="130" workbookViewId="0">
      <selection activeCell="E1" sqref="E1"/>
    </sheetView>
  </sheetViews>
  <sheetFormatPr defaultRowHeight="14.4" x14ac:dyDescent="0.55000000000000004"/>
  <cols>
    <col min="1" max="1" width="16.26171875" bestFit="1" customWidth="1"/>
    <col min="2" max="2" width="11.20703125" customWidth="1"/>
    <col min="3" max="3" width="11.26171875" bestFit="1" customWidth="1"/>
    <col min="4" max="4" width="9.26171875" bestFit="1" customWidth="1"/>
    <col min="5" max="5" width="11.62890625" customWidth="1"/>
    <col min="6" max="6" width="15.68359375" bestFit="1" customWidth="1"/>
    <col min="7" max="7" width="17.3125" customWidth="1"/>
  </cols>
  <sheetData>
    <row r="1" spans="1:6" ht="14.7" thickBot="1" x14ac:dyDescent="0.6">
      <c r="A1" s="4" t="s">
        <v>31</v>
      </c>
      <c r="B1" s="4" t="s">
        <v>40</v>
      </c>
      <c r="C1" s="4" t="s">
        <v>32</v>
      </c>
      <c r="D1" s="4" t="s">
        <v>33</v>
      </c>
      <c r="E1" s="4"/>
    </row>
    <row r="2" spans="1:6" ht="14.7" hidden="1" thickBot="1" x14ac:dyDescent="0.6">
      <c r="A2" s="1" t="s">
        <v>0</v>
      </c>
      <c r="B2" t="str">
        <f>VLOOKUP(A2,'Area Breakdown'!$B$1:$C$33,2,)</f>
        <v>Downtown</v>
      </c>
      <c r="C2" s="2">
        <v>44287</v>
      </c>
      <c r="D2" s="3">
        <v>1197.6000000000001</v>
      </c>
    </row>
    <row r="3" spans="1:6" ht="14.7" hidden="1" thickBot="1" x14ac:dyDescent="0.6">
      <c r="A3" s="1" t="s">
        <v>16</v>
      </c>
      <c r="B3" t="str">
        <f>VLOOKUP(A3,'Area Breakdown'!$B$1:$C$33,2,)</f>
        <v>Downtown</v>
      </c>
      <c r="C3" s="2">
        <v>44287</v>
      </c>
      <c r="D3" s="3">
        <v>1050.4000000000001</v>
      </c>
    </row>
    <row r="4" spans="1:6" ht="14.7" hidden="1" thickBot="1" x14ac:dyDescent="0.6">
      <c r="A4" s="1" t="s">
        <v>21</v>
      </c>
      <c r="B4" t="str">
        <f>VLOOKUP(A4,'Area Breakdown'!$B$1:$C$33,2,)</f>
        <v>Heliopolis</v>
      </c>
      <c r="C4" s="2">
        <v>44287</v>
      </c>
      <c r="D4" s="3">
        <v>822</v>
      </c>
    </row>
    <row r="5" spans="1:6" ht="14.7" hidden="1" thickBot="1" x14ac:dyDescent="0.6">
      <c r="A5" s="1" t="s">
        <v>22</v>
      </c>
      <c r="B5" t="str">
        <f>VLOOKUP(A5,'Area Breakdown'!$B$1:$C$33,2,)</f>
        <v>Heliopolis</v>
      </c>
      <c r="C5" s="2">
        <v>44287</v>
      </c>
      <c r="D5" s="3">
        <v>815.2</v>
      </c>
    </row>
    <row r="6" spans="1:6" ht="14.7" hidden="1" thickBot="1" x14ac:dyDescent="0.6">
      <c r="A6" s="1" t="s">
        <v>17</v>
      </c>
      <c r="B6" t="str">
        <f>VLOOKUP(A6,'Area Breakdown'!$B$1:$C$33,2,)</f>
        <v>Heliopolis</v>
      </c>
      <c r="C6" s="2">
        <v>44287</v>
      </c>
      <c r="D6" s="3">
        <v>751.6</v>
      </c>
    </row>
    <row r="7" spans="1:6" ht="14.7" hidden="1" thickBot="1" x14ac:dyDescent="0.6">
      <c r="A7" s="1" t="s">
        <v>2</v>
      </c>
      <c r="B7" t="str">
        <f>VLOOKUP(A7,'Area Breakdown'!$B$1:$C$33,2,)</f>
        <v>Downtown</v>
      </c>
      <c r="C7" s="2">
        <v>44287</v>
      </c>
      <c r="D7" s="3">
        <v>726.40000000000009</v>
      </c>
    </row>
    <row r="8" spans="1:6" ht="14.7" hidden="1" thickBot="1" x14ac:dyDescent="0.6">
      <c r="A8" s="1" t="s">
        <v>24</v>
      </c>
      <c r="B8" t="str">
        <f>VLOOKUP(A8,'Area Breakdown'!$B$1:$C$33,2,)</f>
        <v>October</v>
      </c>
      <c r="C8" s="2">
        <v>44287</v>
      </c>
      <c r="D8" s="3">
        <v>595.6</v>
      </c>
    </row>
    <row r="9" spans="1:6" ht="14.7" hidden="1" thickBot="1" x14ac:dyDescent="0.6">
      <c r="A9" s="1" t="s">
        <v>8</v>
      </c>
      <c r="B9" t="str">
        <f>VLOOKUP(A9,'Area Breakdown'!$B$1:$C$33,2,)</f>
        <v>Heliopolis</v>
      </c>
      <c r="C9" s="2">
        <v>44287</v>
      </c>
      <c r="D9" s="3">
        <v>561.20000000000005</v>
      </c>
    </row>
    <row r="10" spans="1:6" ht="14.7" hidden="1" thickBot="1" x14ac:dyDescent="0.6">
      <c r="A10" s="1" t="s">
        <v>25</v>
      </c>
      <c r="B10" t="str">
        <f>VLOOKUP(A10,'Area Breakdown'!$B$1:$C$33,2,)</f>
        <v>October</v>
      </c>
      <c r="C10" s="2">
        <v>44287</v>
      </c>
      <c r="D10" s="3">
        <v>548.80000000000007</v>
      </c>
      <c r="F10" s="8"/>
    </row>
    <row r="11" spans="1:6" ht="14.7" hidden="1" thickBot="1" x14ac:dyDescent="0.6">
      <c r="A11" s="1" t="s">
        <v>20</v>
      </c>
      <c r="B11" t="str">
        <f>VLOOKUP(A11,'Area Breakdown'!$B$1:$C$33,2,)</f>
        <v>Downtown</v>
      </c>
      <c r="C11" s="2">
        <v>44287</v>
      </c>
      <c r="D11" s="3">
        <v>509.20000000000005</v>
      </c>
    </row>
    <row r="12" spans="1:6" ht="14.7" hidden="1" thickBot="1" x14ac:dyDescent="0.6">
      <c r="A12" s="1" t="s">
        <v>1</v>
      </c>
      <c r="B12" t="str">
        <f>VLOOKUP(A12,'Area Breakdown'!$B$1:$C$33,2,)</f>
        <v>Downtown</v>
      </c>
      <c r="C12" s="2">
        <v>44287</v>
      </c>
      <c r="D12" s="3">
        <v>506.8</v>
      </c>
    </row>
    <row r="13" spans="1:6" ht="14.7" hidden="1" thickBot="1" x14ac:dyDescent="0.6">
      <c r="A13" s="1" t="s">
        <v>19</v>
      </c>
      <c r="B13" t="str">
        <f>VLOOKUP(A13,'Area Breakdown'!$B$1:$C$33,2,)</f>
        <v>Downtown</v>
      </c>
      <c r="C13" s="2">
        <v>44287</v>
      </c>
      <c r="D13" s="3">
        <v>480</v>
      </c>
    </row>
    <row r="14" spans="1:6" ht="14.7" hidden="1" thickBot="1" x14ac:dyDescent="0.6">
      <c r="A14" s="1" t="s">
        <v>9</v>
      </c>
      <c r="B14" t="str">
        <f>VLOOKUP(A14,'Area Breakdown'!$B$1:$C$33,2,)</f>
        <v xml:space="preserve">Alexandria </v>
      </c>
      <c r="C14" s="2">
        <v>44287</v>
      </c>
      <c r="D14" s="3">
        <v>431.6</v>
      </c>
    </row>
    <row r="15" spans="1:6" ht="14.7" hidden="1" thickBot="1" x14ac:dyDescent="0.6">
      <c r="A15" s="1" t="s">
        <v>4</v>
      </c>
      <c r="B15" t="str">
        <f>VLOOKUP(A15,'Area Breakdown'!$B$1:$C$33,2,)</f>
        <v>Downtown</v>
      </c>
      <c r="C15" s="2">
        <v>44287</v>
      </c>
      <c r="D15" s="3">
        <v>358.40000000000003</v>
      </c>
    </row>
    <row r="16" spans="1:6" ht="14.7" hidden="1" thickBot="1" x14ac:dyDescent="0.6">
      <c r="A16" s="1" t="s">
        <v>6</v>
      </c>
      <c r="B16" t="str">
        <f>VLOOKUP(A16,'Area Breakdown'!$B$1:$C$33,2,)</f>
        <v xml:space="preserve">Alexandria </v>
      </c>
      <c r="C16" s="2">
        <v>44287</v>
      </c>
      <c r="D16" s="3">
        <v>324.8</v>
      </c>
    </row>
    <row r="17" spans="1:4" ht="14.7" hidden="1" thickBot="1" x14ac:dyDescent="0.6">
      <c r="A17" s="1" t="s">
        <v>3</v>
      </c>
      <c r="B17" t="str">
        <f>VLOOKUP(A17,'Area Breakdown'!$B$1:$C$33,2,)</f>
        <v>Downtown</v>
      </c>
      <c r="C17" s="2">
        <v>44287</v>
      </c>
      <c r="D17" s="3">
        <v>294</v>
      </c>
    </row>
    <row r="18" spans="1:4" ht="14.7" hidden="1" thickBot="1" x14ac:dyDescent="0.6">
      <c r="A18" s="1" t="s">
        <v>13</v>
      </c>
      <c r="B18" t="str">
        <f>VLOOKUP(A18,'Area Breakdown'!$B$1:$C$33,2,)</f>
        <v>Heliopolis</v>
      </c>
      <c r="C18" s="2">
        <v>44287</v>
      </c>
      <c r="D18" s="3">
        <v>234.8</v>
      </c>
    </row>
    <row r="19" spans="1:4" ht="14.7" hidden="1" thickBot="1" x14ac:dyDescent="0.6">
      <c r="A19" s="1" t="s">
        <v>23</v>
      </c>
      <c r="B19" t="str">
        <f>VLOOKUP(A19,'Area Breakdown'!$B$1:$C$33,2,)</f>
        <v>Heliopolis</v>
      </c>
      <c r="C19" s="2">
        <v>44287</v>
      </c>
      <c r="D19" s="3">
        <v>216.8</v>
      </c>
    </row>
    <row r="20" spans="1:4" ht="14.7" hidden="1" thickBot="1" x14ac:dyDescent="0.6">
      <c r="A20" s="1" t="s">
        <v>11</v>
      </c>
      <c r="B20" t="str">
        <f>VLOOKUP(A20,'Area Breakdown'!$B$1:$C$33,2,)</f>
        <v>New Cairo</v>
      </c>
      <c r="C20" s="2">
        <v>44287</v>
      </c>
      <c r="D20" s="3">
        <v>214.4</v>
      </c>
    </row>
    <row r="21" spans="1:4" ht="14.7" hidden="1" thickBot="1" x14ac:dyDescent="0.6">
      <c r="A21" s="1" t="s">
        <v>7</v>
      </c>
      <c r="B21" t="str">
        <f>VLOOKUP(A21,'Area Breakdown'!$B$1:$C$33,2,)</f>
        <v>October</v>
      </c>
      <c r="C21" s="2">
        <v>44287</v>
      </c>
      <c r="D21" s="3">
        <v>186.4</v>
      </c>
    </row>
    <row r="22" spans="1:4" ht="14.7" hidden="1" thickBot="1" x14ac:dyDescent="0.6">
      <c r="A22" s="1" t="s">
        <v>10</v>
      </c>
      <c r="B22" t="str">
        <f>VLOOKUP(A22,'Area Breakdown'!$B$1:$C$33,2,)</f>
        <v xml:space="preserve">Alexandria </v>
      </c>
      <c r="C22" s="2">
        <v>44287</v>
      </c>
      <c r="D22" s="3">
        <v>156</v>
      </c>
    </row>
    <row r="23" spans="1:4" ht="14.7" hidden="1" thickBot="1" x14ac:dyDescent="0.6">
      <c r="A23" s="1" t="s">
        <v>15</v>
      </c>
      <c r="B23" t="str">
        <f>VLOOKUP(A23,'Area Breakdown'!$B$1:$C$33,2,)</f>
        <v>Heliopolis</v>
      </c>
      <c r="C23" s="2">
        <v>44287</v>
      </c>
      <c r="D23" s="3">
        <v>34.4</v>
      </c>
    </row>
    <row r="24" spans="1:4" ht="14.7" hidden="1" thickBot="1" x14ac:dyDescent="0.6">
      <c r="A24" s="1" t="s">
        <v>12</v>
      </c>
      <c r="B24" t="str">
        <f>VLOOKUP(A24,'Area Breakdown'!$B$1:$C$33,2,)</f>
        <v>New Cairo</v>
      </c>
      <c r="C24" s="2">
        <v>44287</v>
      </c>
      <c r="D24" s="3">
        <v>1847.2</v>
      </c>
    </row>
    <row r="25" spans="1:4" ht="14.7" hidden="1" thickBot="1" x14ac:dyDescent="0.6">
      <c r="A25" s="1" t="s">
        <v>12</v>
      </c>
      <c r="B25" t="str">
        <f>VLOOKUP(A25,'Area Breakdown'!$B$1:$C$33,2,)</f>
        <v>New Cairo</v>
      </c>
      <c r="C25" s="2">
        <v>44288</v>
      </c>
      <c r="D25" s="3">
        <v>1084.4000000000001</v>
      </c>
    </row>
    <row r="26" spans="1:4" ht="14.7" hidden="1" thickBot="1" x14ac:dyDescent="0.6">
      <c r="A26" s="1" t="s">
        <v>22</v>
      </c>
      <c r="B26" t="str">
        <f>VLOOKUP(A26,'Area Breakdown'!$B$1:$C$33,2,)</f>
        <v>Heliopolis</v>
      </c>
      <c r="C26" s="2">
        <v>44288</v>
      </c>
      <c r="D26" s="3">
        <v>790.40000000000009</v>
      </c>
    </row>
    <row r="27" spans="1:4" ht="14.7" hidden="1" thickBot="1" x14ac:dyDescent="0.6">
      <c r="A27" s="1" t="s">
        <v>16</v>
      </c>
      <c r="B27" t="str">
        <f>VLOOKUP(A27,'Area Breakdown'!$B$1:$C$33,2,)</f>
        <v>Downtown</v>
      </c>
      <c r="C27" s="2">
        <v>44288</v>
      </c>
      <c r="D27" s="3">
        <v>782.80000000000007</v>
      </c>
    </row>
    <row r="28" spans="1:4" ht="14.7" hidden="1" thickBot="1" x14ac:dyDescent="0.6">
      <c r="A28" s="1" t="s">
        <v>20</v>
      </c>
      <c r="B28" t="str">
        <f>VLOOKUP(A28,'Area Breakdown'!$B$1:$C$33,2,)</f>
        <v>Downtown</v>
      </c>
      <c r="C28" s="2">
        <v>44288</v>
      </c>
      <c r="D28" s="3">
        <v>530</v>
      </c>
    </row>
    <row r="29" spans="1:4" ht="14.7" hidden="1" thickBot="1" x14ac:dyDescent="0.6">
      <c r="A29" s="1" t="s">
        <v>0</v>
      </c>
      <c r="B29" t="str">
        <f>VLOOKUP(A29,'Area Breakdown'!$B$1:$C$33,2,)</f>
        <v>Downtown</v>
      </c>
      <c r="C29" s="2">
        <v>44288</v>
      </c>
      <c r="D29" s="3">
        <v>515.20000000000005</v>
      </c>
    </row>
    <row r="30" spans="1:4" ht="14.7" hidden="1" thickBot="1" x14ac:dyDescent="0.6">
      <c r="A30" s="1" t="s">
        <v>21</v>
      </c>
      <c r="B30" t="str">
        <f>VLOOKUP(A30,'Area Breakdown'!$B$1:$C$33,2,)</f>
        <v>Heliopolis</v>
      </c>
      <c r="C30" s="2">
        <v>44288</v>
      </c>
      <c r="D30" s="3">
        <v>514.4</v>
      </c>
    </row>
    <row r="31" spans="1:4" ht="14.7" hidden="1" thickBot="1" x14ac:dyDescent="0.6">
      <c r="A31" s="1" t="s">
        <v>9</v>
      </c>
      <c r="B31" t="str">
        <f>VLOOKUP(A31,'Area Breakdown'!$B$1:$C$33,2,)</f>
        <v xml:space="preserve">Alexandria </v>
      </c>
      <c r="C31" s="2">
        <v>44288</v>
      </c>
      <c r="D31" s="3">
        <v>502</v>
      </c>
    </row>
    <row r="32" spans="1:4" ht="14.7" hidden="1" thickBot="1" x14ac:dyDescent="0.6">
      <c r="A32" s="1" t="s">
        <v>24</v>
      </c>
      <c r="B32" t="str">
        <f>VLOOKUP(A32,'Area Breakdown'!$B$1:$C$33,2,)</f>
        <v>October</v>
      </c>
      <c r="C32" s="2">
        <v>44288</v>
      </c>
      <c r="D32" s="3">
        <v>476.40000000000003</v>
      </c>
    </row>
    <row r="33" spans="1:4" ht="14.7" hidden="1" thickBot="1" x14ac:dyDescent="0.6">
      <c r="A33" s="1" t="s">
        <v>25</v>
      </c>
      <c r="B33" t="str">
        <f>VLOOKUP(A33,'Area Breakdown'!$B$1:$C$33,2,)</f>
        <v>October</v>
      </c>
      <c r="C33" s="2">
        <v>44288</v>
      </c>
      <c r="D33" s="3">
        <v>449.6</v>
      </c>
    </row>
    <row r="34" spans="1:4" ht="14.7" hidden="1" thickBot="1" x14ac:dyDescent="0.6">
      <c r="A34" s="1" t="s">
        <v>2</v>
      </c>
      <c r="B34" t="str">
        <f>VLOOKUP(A34,'Area Breakdown'!$B$1:$C$33,2,)</f>
        <v>Downtown</v>
      </c>
      <c r="C34" s="2">
        <v>44288</v>
      </c>
      <c r="D34" s="3">
        <v>408</v>
      </c>
    </row>
    <row r="35" spans="1:4" ht="14.7" hidden="1" thickBot="1" x14ac:dyDescent="0.6">
      <c r="A35" s="1" t="s">
        <v>17</v>
      </c>
      <c r="B35" t="str">
        <f>VLOOKUP(A35,'Area Breakdown'!$B$1:$C$33,2,)</f>
        <v>Heliopolis</v>
      </c>
      <c r="C35" s="2">
        <v>44288</v>
      </c>
      <c r="D35" s="3">
        <v>405.6</v>
      </c>
    </row>
    <row r="36" spans="1:4" ht="14.7" hidden="1" thickBot="1" x14ac:dyDescent="0.6">
      <c r="A36" s="1" t="s">
        <v>1</v>
      </c>
      <c r="B36" t="str">
        <f>VLOOKUP(A36,'Area Breakdown'!$B$1:$C$33,2,)</f>
        <v>Downtown</v>
      </c>
      <c r="C36" s="2">
        <v>44288</v>
      </c>
      <c r="D36" s="3">
        <v>260.40000000000003</v>
      </c>
    </row>
    <row r="37" spans="1:4" ht="14.7" hidden="1" thickBot="1" x14ac:dyDescent="0.6">
      <c r="A37" s="1" t="s">
        <v>6</v>
      </c>
      <c r="B37" t="str">
        <f>VLOOKUP(A37,'Area Breakdown'!$B$1:$C$33,2,)</f>
        <v xml:space="preserve">Alexandria </v>
      </c>
      <c r="C37" s="2">
        <v>44288</v>
      </c>
      <c r="D37" s="3">
        <v>258</v>
      </c>
    </row>
    <row r="38" spans="1:4" ht="14.7" hidden="1" thickBot="1" x14ac:dyDescent="0.6">
      <c r="A38" s="1" t="s">
        <v>3</v>
      </c>
      <c r="B38" t="str">
        <f>VLOOKUP(A38,'Area Breakdown'!$B$1:$C$33,2,)</f>
        <v>Downtown</v>
      </c>
      <c r="C38" s="2">
        <v>44288</v>
      </c>
      <c r="D38" s="3">
        <v>247.60000000000002</v>
      </c>
    </row>
    <row r="39" spans="1:4" ht="14.7" hidden="1" thickBot="1" x14ac:dyDescent="0.6">
      <c r="A39" s="1" t="s">
        <v>23</v>
      </c>
      <c r="B39" t="str">
        <f>VLOOKUP(A39,'Area Breakdown'!$B$1:$C$33,2,)</f>
        <v>Heliopolis</v>
      </c>
      <c r="C39" s="2">
        <v>44288</v>
      </c>
      <c r="D39" s="3">
        <v>174.4</v>
      </c>
    </row>
    <row r="40" spans="1:4" ht="14.7" hidden="1" thickBot="1" x14ac:dyDescent="0.6">
      <c r="A40" s="1" t="s">
        <v>10</v>
      </c>
      <c r="B40" t="str">
        <f>VLOOKUP(A40,'Area Breakdown'!$B$1:$C$33,2,)</f>
        <v xml:space="preserve">Alexandria </v>
      </c>
      <c r="C40" s="2">
        <v>44288</v>
      </c>
      <c r="D40" s="3">
        <v>170</v>
      </c>
    </row>
    <row r="41" spans="1:4" ht="14.7" hidden="1" thickBot="1" x14ac:dyDescent="0.6">
      <c r="A41" s="1" t="s">
        <v>13</v>
      </c>
      <c r="B41" t="str">
        <f>VLOOKUP(A41,'Area Breakdown'!$B$1:$C$33,2,)</f>
        <v>Heliopolis</v>
      </c>
      <c r="C41" s="2">
        <v>44288</v>
      </c>
      <c r="D41" s="3">
        <v>158.4</v>
      </c>
    </row>
    <row r="42" spans="1:4" ht="14.7" hidden="1" thickBot="1" x14ac:dyDescent="0.6">
      <c r="A42" s="1" t="s">
        <v>11</v>
      </c>
      <c r="B42" t="str">
        <f>VLOOKUP(A42,'Area Breakdown'!$B$1:$C$33,2,)</f>
        <v>New Cairo</v>
      </c>
      <c r="C42" s="2">
        <v>44288</v>
      </c>
      <c r="D42" s="3">
        <v>140.4</v>
      </c>
    </row>
    <row r="43" spans="1:4" ht="14.7" hidden="1" thickBot="1" x14ac:dyDescent="0.6">
      <c r="A43" s="1" t="s">
        <v>19</v>
      </c>
      <c r="B43" t="str">
        <f>VLOOKUP(A43,'Area Breakdown'!$B$1:$C$33,2,)</f>
        <v>Downtown</v>
      </c>
      <c r="C43" s="2">
        <v>44288</v>
      </c>
      <c r="D43" s="3">
        <v>130.4</v>
      </c>
    </row>
    <row r="44" spans="1:4" ht="14.7" hidden="1" thickBot="1" x14ac:dyDescent="0.6">
      <c r="A44" s="1" t="s">
        <v>4</v>
      </c>
      <c r="B44" t="str">
        <f>VLOOKUP(A44,'Area Breakdown'!$B$1:$C$33,2,)</f>
        <v>Downtown</v>
      </c>
      <c r="C44" s="2">
        <v>44288</v>
      </c>
      <c r="D44" s="3">
        <v>129.20000000000002</v>
      </c>
    </row>
    <row r="45" spans="1:4" ht="14.7" hidden="1" thickBot="1" x14ac:dyDescent="0.6">
      <c r="A45" s="1" t="s">
        <v>15</v>
      </c>
      <c r="B45" t="str">
        <f>VLOOKUP(A45,'Area Breakdown'!$B$1:$C$33,2,)</f>
        <v>Heliopolis</v>
      </c>
      <c r="C45" s="2">
        <v>44288</v>
      </c>
      <c r="D45" s="3">
        <v>80.400000000000006</v>
      </c>
    </row>
    <row r="46" spans="1:4" ht="14.7" hidden="1" thickBot="1" x14ac:dyDescent="0.6">
      <c r="A46" s="1" t="s">
        <v>8</v>
      </c>
      <c r="B46" t="str">
        <f>VLOOKUP(A46,'Area Breakdown'!$B$1:$C$33,2,)</f>
        <v>Heliopolis</v>
      </c>
      <c r="C46" s="2">
        <v>44288</v>
      </c>
      <c r="D46" s="3">
        <v>66.8</v>
      </c>
    </row>
    <row r="47" spans="1:4" ht="14.7" hidden="1" thickBot="1" x14ac:dyDescent="0.6">
      <c r="A47" s="1" t="s">
        <v>7</v>
      </c>
      <c r="B47" t="str">
        <f>VLOOKUP(A47,'Area Breakdown'!$B$1:$C$33,2,)</f>
        <v>October</v>
      </c>
      <c r="C47" s="2">
        <v>44288</v>
      </c>
      <c r="D47" s="3">
        <v>51.2</v>
      </c>
    </row>
    <row r="48" spans="1:4" ht="14.7" hidden="1" thickBot="1" x14ac:dyDescent="0.6">
      <c r="A48" s="1" t="s">
        <v>12</v>
      </c>
      <c r="B48" t="str">
        <f>VLOOKUP(A48,'Area Breakdown'!$B$1:$C$33,2,)</f>
        <v>New Cairo</v>
      </c>
      <c r="C48" s="2">
        <v>44289</v>
      </c>
      <c r="D48" s="3">
        <v>1486.8000000000002</v>
      </c>
    </row>
    <row r="49" spans="1:4" ht="14.7" hidden="1" thickBot="1" x14ac:dyDescent="0.6">
      <c r="A49" s="1" t="s">
        <v>22</v>
      </c>
      <c r="B49" t="str">
        <f>VLOOKUP(A49,'Area Breakdown'!$B$1:$C$33,2,)</f>
        <v>Heliopolis</v>
      </c>
      <c r="C49" s="2">
        <v>44289</v>
      </c>
      <c r="D49" s="3">
        <v>1098.8</v>
      </c>
    </row>
    <row r="50" spans="1:4" ht="14.7" hidden="1" thickBot="1" x14ac:dyDescent="0.6">
      <c r="A50" s="1" t="s">
        <v>20</v>
      </c>
      <c r="B50" t="str">
        <f>VLOOKUP(A50,'Area Breakdown'!$B$1:$C$33,2,)</f>
        <v>Downtown</v>
      </c>
      <c r="C50" s="2">
        <v>44289</v>
      </c>
      <c r="D50" s="3">
        <v>701.6</v>
      </c>
    </row>
    <row r="51" spans="1:4" ht="14.7" hidden="1" thickBot="1" x14ac:dyDescent="0.6">
      <c r="A51" s="1" t="s">
        <v>25</v>
      </c>
      <c r="B51" t="str">
        <f>VLOOKUP(A51,'Area Breakdown'!$B$1:$C$33,2,)</f>
        <v>October</v>
      </c>
      <c r="C51" s="2">
        <v>44289</v>
      </c>
      <c r="D51" s="3">
        <v>571.6</v>
      </c>
    </row>
    <row r="52" spans="1:4" ht="14.7" hidden="1" thickBot="1" x14ac:dyDescent="0.6">
      <c r="A52" s="1" t="s">
        <v>16</v>
      </c>
      <c r="B52" t="str">
        <f>VLOOKUP(A52,'Area Breakdown'!$B$1:$C$33,2,)</f>
        <v>Downtown</v>
      </c>
      <c r="C52" s="2">
        <v>44289</v>
      </c>
      <c r="D52" s="3">
        <v>509.6</v>
      </c>
    </row>
    <row r="53" spans="1:4" ht="14.7" hidden="1" thickBot="1" x14ac:dyDescent="0.6">
      <c r="A53" s="1" t="s">
        <v>3</v>
      </c>
      <c r="B53" t="str">
        <f>VLOOKUP(A53,'Area Breakdown'!$B$1:$C$33,2,)</f>
        <v>Downtown</v>
      </c>
      <c r="C53" s="2">
        <v>44289</v>
      </c>
      <c r="D53" s="3">
        <v>484</v>
      </c>
    </row>
    <row r="54" spans="1:4" ht="14.7" hidden="1" thickBot="1" x14ac:dyDescent="0.6">
      <c r="A54" s="1" t="s">
        <v>0</v>
      </c>
      <c r="B54" t="str">
        <f>VLOOKUP(A54,'Area Breakdown'!$B$1:$C$33,2,)</f>
        <v>Downtown</v>
      </c>
      <c r="C54" s="2">
        <v>44289</v>
      </c>
      <c r="D54" s="3">
        <v>391.20000000000005</v>
      </c>
    </row>
    <row r="55" spans="1:4" ht="14.7" hidden="1" thickBot="1" x14ac:dyDescent="0.6">
      <c r="A55" s="1" t="s">
        <v>24</v>
      </c>
      <c r="B55" t="str">
        <f>VLOOKUP(A55,'Area Breakdown'!$B$1:$C$33,2,)</f>
        <v>October</v>
      </c>
      <c r="C55" s="2">
        <v>44289</v>
      </c>
      <c r="D55" s="3">
        <v>379.20000000000005</v>
      </c>
    </row>
    <row r="56" spans="1:4" ht="14.7" hidden="1" thickBot="1" x14ac:dyDescent="0.6">
      <c r="A56" s="1" t="s">
        <v>17</v>
      </c>
      <c r="B56" t="str">
        <f>VLOOKUP(A56,'Area Breakdown'!$B$1:$C$33,2,)</f>
        <v>Heliopolis</v>
      </c>
      <c r="C56" s="2">
        <v>44289</v>
      </c>
      <c r="D56" s="3">
        <v>369.20000000000005</v>
      </c>
    </row>
    <row r="57" spans="1:4" ht="14.7" hidden="1" thickBot="1" x14ac:dyDescent="0.6">
      <c r="A57" s="1" t="s">
        <v>19</v>
      </c>
      <c r="B57" t="str">
        <f>VLOOKUP(A57,'Area Breakdown'!$B$1:$C$33,2,)</f>
        <v>Downtown</v>
      </c>
      <c r="C57" s="2">
        <v>44289</v>
      </c>
      <c r="D57" s="3">
        <v>335.20000000000005</v>
      </c>
    </row>
    <row r="58" spans="1:4" ht="14.7" hidden="1" thickBot="1" x14ac:dyDescent="0.6">
      <c r="A58" s="1" t="s">
        <v>2</v>
      </c>
      <c r="B58" t="str">
        <f>VLOOKUP(A58,'Area Breakdown'!$B$1:$C$33,2,)</f>
        <v>Downtown</v>
      </c>
      <c r="C58" s="2">
        <v>44289</v>
      </c>
      <c r="D58" s="3">
        <v>313.20000000000005</v>
      </c>
    </row>
    <row r="59" spans="1:4" ht="14.7" hidden="1" thickBot="1" x14ac:dyDescent="0.6">
      <c r="A59" s="1" t="s">
        <v>1</v>
      </c>
      <c r="B59" t="str">
        <f>VLOOKUP(A59,'Area Breakdown'!$B$1:$C$33,2,)</f>
        <v>Downtown</v>
      </c>
      <c r="C59" s="2">
        <v>44289</v>
      </c>
      <c r="D59" s="3">
        <v>294.40000000000003</v>
      </c>
    </row>
    <row r="60" spans="1:4" ht="14.7" hidden="1" thickBot="1" x14ac:dyDescent="0.6">
      <c r="A60" s="1" t="s">
        <v>9</v>
      </c>
      <c r="B60" t="str">
        <f>VLOOKUP(A60,'Area Breakdown'!$B$1:$C$33,2,)</f>
        <v xml:space="preserve">Alexandria </v>
      </c>
      <c r="C60" s="2">
        <v>44289</v>
      </c>
      <c r="D60" s="3">
        <v>285.60000000000002</v>
      </c>
    </row>
    <row r="61" spans="1:4" ht="14.7" hidden="1" thickBot="1" x14ac:dyDescent="0.6">
      <c r="A61" s="1" t="s">
        <v>6</v>
      </c>
      <c r="B61" t="str">
        <f>VLOOKUP(A61,'Area Breakdown'!$B$1:$C$33,2,)</f>
        <v xml:space="preserve">Alexandria </v>
      </c>
      <c r="C61" s="2">
        <v>44289</v>
      </c>
      <c r="D61" s="3">
        <v>269.2</v>
      </c>
    </row>
    <row r="62" spans="1:4" ht="14.7" hidden="1" thickBot="1" x14ac:dyDescent="0.6">
      <c r="A62" s="1" t="s">
        <v>15</v>
      </c>
      <c r="B62" t="str">
        <f>VLOOKUP(A62,'Area Breakdown'!$B$1:$C$33,2,)</f>
        <v>Heliopolis</v>
      </c>
      <c r="C62" s="2">
        <v>44289</v>
      </c>
      <c r="D62" s="3">
        <v>212.8</v>
      </c>
    </row>
    <row r="63" spans="1:4" ht="14.7" hidden="1" thickBot="1" x14ac:dyDescent="0.6">
      <c r="A63" s="1" t="s">
        <v>8</v>
      </c>
      <c r="B63" t="str">
        <f>VLOOKUP(A63,'Area Breakdown'!$B$1:$C$33,2,)</f>
        <v>Heliopolis</v>
      </c>
      <c r="C63" s="2">
        <v>44289</v>
      </c>
      <c r="D63" s="3">
        <v>166</v>
      </c>
    </row>
    <row r="64" spans="1:4" ht="14.7" hidden="1" thickBot="1" x14ac:dyDescent="0.6">
      <c r="A64" s="1" t="s">
        <v>10</v>
      </c>
      <c r="B64" t="str">
        <f>VLOOKUP(A64,'Area Breakdown'!$B$1:$C$33,2,)</f>
        <v xml:space="preserve">Alexandria </v>
      </c>
      <c r="C64" s="2">
        <v>44289</v>
      </c>
      <c r="D64" s="3">
        <v>142</v>
      </c>
    </row>
    <row r="65" spans="1:4" ht="14.7" hidden="1" thickBot="1" x14ac:dyDescent="0.6">
      <c r="A65" s="1" t="s">
        <v>4</v>
      </c>
      <c r="B65" t="str">
        <f>VLOOKUP(A65,'Area Breakdown'!$B$1:$C$33,2,)</f>
        <v>Downtown</v>
      </c>
      <c r="C65" s="2">
        <v>44289</v>
      </c>
      <c r="D65" s="3">
        <v>121.2</v>
      </c>
    </row>
    <row r="66" spans="1:4" ht="14.7" hidden="1" thickBot="1" x14ac:dyDescent="0.6">
      <c r="A66" s="1" t="s">
        <v>13</v>
      </c>
      <c r="B66" t="str">
        <f>VLOOKUP(A66,'Area Breakdown'!$B$1:$C$33,2,)</f>
        <v>Heliopolis</v>
      </c>
      <c r="C66" s="2">
        <v>44289</v>
      </c>
      <c r="D66" s="3">
        <v>94.800000000000011</v>
      </c>
    </row>
    <row r="67" spans="1:4" ht="14.7" hidden="1" thickBot="1" x14ac:dyDescent="0.6">
      <c r="A67" s="1" t="s">
        <v>11</v>
      </c>
      <c r="B67" t="str">
        <f>VLOOKUP(A67,'Area Breakdown'!$B$1:$C$33,2,)</f>
        <v>New Cairo</v>
      </c>
      <c r="C67" s="2">
        <v>44289</v>
      </c>
      <c r="D67" s="3">
        <v>67.2</v>
      </c>
    </row>
    <row r="68" spans="1:4" ht="14.7" hidden="1" thickBot="1" x14ac:dyDescent="0.6">
      <c r="A68" s="1" t="s">
        <v>7</v>
      </c>
      <c r="B68" t="str">
        <f>VLOOKUP(A68,'Area Breakdown'!$B$1:$C$33,2,)</f>
        <v>October</v>
      </c>
      <c r="C68" s="2">
        <v>44289</v>
      </c>
      <c r="D68" s="3">
        <v>67.2</v>
      </c>
    </row>
    <row r="69" spans="1:4" ht="14.7" hidden="1" thickBot="1" x14ac:dyDescent="0.6">
      <c r="A69" s="1" t="s">
        <v>21</v>
      </c>
      <c r="B69" t="str">
        <f>VLOOKUP(A69,'Area Breakdown'!$B$1:$C$33,2,)</f>
        <v>Heliopolis</v>
      </c>
      <c r="C69" s="2">
        <v>44289</v>
      </c>
      <c r="D69" s="3">
        <v>48</v>
      </c>
    </row>
    <row r="70" spans="1:4" ht="14.7" hidden="1" thickBot="1" x14ac:dyDescent="0.6">
      <c r="A70" s="1" t="s">
        <v>23</v>
      </c>
      <c r="B70" t="str">
        <f>VLOOKUP(A70,'Area Breakdown'!$B$1:$C$33,2,)</f>
        <v>Heliopolis</v>
      </c>
      <c r="C70" s="2">
        <v>44289</v>
      </c>
      <c r="D70" s="3">
        <v>28</v>
      </c>
    </row>
    <row r="71" spans="1:4" ht="14.7" hidden="1" thickBot="1" x14ac:dyDescent="0.6">
      <c r="A71" s="1" t="s">
        <v>0</v>
      </c>
      <c r="B71" t="str">
        <f>VLOOKUP(A71,'Area Breakdown'!$B$1:$C$33,2,)</f>
        <v>Downtown</v>
      </c>
      <c r="C71" s="2">
        <v>44290</v>
      </c>
      <c r="D71" s="3">
        <v>1608.4</v>
      </c>
    </row>
    <row r="72" spans="1:4" ht="14.7" hidden="1" thickBot="1" x14ac:dyDescent="0.6">
      <c r="A72" s="1" t="s">
        <v>20</v>
      </c>
      <c r="B72" t="str">
        <f>VLOOKUP(A72,'Area Breakdown'!$B$1:$C$33,2,)</f>
        <v>Downtown</v>
      </c>
      <c r="C72" s="2">
        <v>44290</v>
      </c>
      <c r="D72" s="3">
        <v>1046.4000000000001</v>
      </c>
    </row>
    <row r="73" spans="1:4" ht="14.7" hidden="1" thickBot="1" x14ac:dyDescent="0.6">
      <c r="A73" s="1" t="s">
        <v>1</v>
      </c>
      <c r="B73" t="str">
        <f>VLOOKUP(A73,'Area Breakdown'!$B$1:$C$33,2,)</f>
        <v>Downtown</v>
      </c>
      <c r="C73" s="2">
        <v>44290</v>
      </c>
      <c r="D73" s="3">
        <v>914.40000000000009</v>
      </c>
    </row>
    <row r="74" spans="1:4" ht="14.7" hidden="1" thickBot="1" x14ac:dyDescent="0.6">
      <c r="A74" s="1" t="s">
        <v>16</v>
      </c>
      <c r="B74" t="str">
        <f>VLOOKUP(A74,'Area Breakdown'!$B$1:$C$33,2,)</f>
        <v>Downtown</v>
      </c>
      <c r="C74" s="2">
        <v>44290</v>
      </c>
      <c r="D74" s="3">
        <v>831.6</v>
      </c>
    </row>
    <row r="75" spans="1:4" ht="14.7" hidden="1" thickBot="1" x14ac:dyDescent="0.6">
      <c r="A75" s="1" t="s">
        <v>22</v>
      </c>
      <c r="B75" t="str">
        <f>VLOOKUP(A75,'Area Breakdown'!$B$1:$C$33,2,)</f>
        <v>Heliopolis</v>
      </c>
      <c r="C75" s="2">
        <v>44290</v>
      </c>
      <c r="D75" s="3">
        <v>802</v>
      </c>
    </row>
    <row r="76" spans="1:4" ht="14.7" hidden="1" thickBot="1" x14ac:dyDescent="0.6">
      <c r="A76" s="1" t="s">
        <v>21</v>
      </c>
      <c r="B76" t="str">
        <f>VLOOKUP(A76,'Area Breakdown'!$B$1:$C$33,2,)</f>
        <v>Heliopolis</v>
      </c>
      <c r="C76" s="2">
        <v>44290</v>
      </c>
      <c r="D76" s="3">
        <v>628</v>
      </c>
    </row>
    <row r="77" spans="1:4" ht="14.7" hidden="1" thickBot="1" x14ac:dyDescent="0.6">
      <c r="A77" s="1" t="s">
        <v>23</v>
      </c>
      <c r="B77" t="str">
        <f>VLOOKUP(A77,'Area Breakdown'!$B$1:$C$33,2,)</f>
        <v>Heliopolis</v>
      </c>
      <c r="C77" s="2">
        <v>44290</v>
      </c>
      <c r="D77" s="3">
        <v>597.6</v>
      </c>
    </row>
    <row r="78" spans="1:4" ht="14.7" hidden="1" thickBot="1" x14ac:dyDescent="0.6">
      <c r="A78" s="1" t="s">
        <v>19</v>
      </c>
      <c r="B78" t="str">
        <f>VLOOKUP(A78,'Area Breakdown'!$B$1:$C$33,2,)</f>
        <v>Downtown</v>
      </c>
      <c r="C78" s="2">
        <v>44290</v>
      </c>
      <c r="D78" s="3">
        <v>552</v>
      </c>
    </row>
    <row r="79" spans="1:4" ht="14.7" hidden="1" thickBot="1" x14ac:dyDescent="0.6">
      <c r="A79" s="1" t="s">
        <v>3</v>
      </c>
      <c r="B79" t="str">
        <f>VLOOKUP(A79,'Area Breakdown'!$B$1:$C$33,2,)</f>
        <v>Downtown</v>
      </c>
      <c r="C79" s="2">
        <v>44290</v>
      </c>
      <c r="D79" s="3">
        <v>521.20000000000005</v>
      </c>
    </row>
    <row r="80" spans="1:4" ht="14.7" hidden="1" thickBot="1" x14ac:dyDescent="0.6">
      <c r="A80" s="1" t="s">
        <v>25</v>
      </c>
      <c r="B80" t="str">
        <f>VLOOKUP(A80,'Area Breakdown'!$B$1:$C$33,2,)</f>
        <v>October</v>
      </c>
      <c r="C80" s="2">
        <v>44290</v>
      </c>
      <c r="D80" s="3">
        <v>469.6</v>
      </c>
    </row>
    <row r="81" spans="1:4" ht="14.7" hidden="1" thickBot="1" x14ac:dyDescent="0.6">
      <c r="A81" s="1" t="s">
        <v>9</v>
      </c>
      <c r="B81" t="str">
        <f>VLOOKUP(A81,'Area Breakdown'!$B$1:$C$33,2,)</f>
        <v xml:space="preserve">Alexandria </v>
      </c>
      <c r="C81" s="2">
        <v>44290</v>
      </c>
      <c r="D81" s="3">
        <v>440</v>
      </c>
    </row>
    <row r="82" spans="1:4" ht="14.7" hidden="1" thickBot="1" x14ac:dyDescent="0.6">
      <c r="A82" s="1" t="s">
        <v>6</v>
      </c>
      <c r="B82" t="str">
        <f>VLOOKUP(A82,'Area Breakdown'!$B$1:$C$33,2,)</f>
        <v xml:space="preserve">Alexandria </v>
      </c>
      <c r="C82" s="2">
        <v>44290</v>
      </c>
      <c r="D82" s="3">
        <v>429.20000000000005</v>
      </c>
    </row>
    <row r="83" spans="1:4" ht="14.7" hidden="1" thickBot="1" x14ac:dyDescent="0.6">
      <c r="A83" s="1" t="s">
        <v>15</v>
      </c>
      <c r="B83" t="str">
        <f>VLOOKUP(A83,'Area Breakdown'!$B$1:$C$33,2,)</f>
        <v>Heliopolis</v>
      </c>
      <c r="C83" s="2">
        <v>44290</v>
      </c>
      <c r="D83" s="3">
        <v>392.8</v>
      </c>
    </row>
    <row r="84" spans="1:4" ht="14.7" hidden="1" thickBot="1" x14ac:dyDescent="0.6">
      <c r="A84" s="1" t="s">
        <v>4</v>
      </c>
      <c r="B84" t="str">
        <f>VLOOKUP(A84,'Area Breakdown'!$B$1:$C$33,2,)</f>
        <v>Downtown</v>
      </c>
      <c r="C84" s="2">
        <v>44290</v>
      </c>
      <c r="D84" s="3">
        <v>337.20000000000005</v>
      </c>
    </row>
    <row r="85" spans="1:4" ht="14.7" hidden="1" thickBot="1" x14ac:dyDescent="0.6">
      <c r="A85" s="1" t="s">
        <v>10</v>
      </c>
      <c r="B85" t="str">
        <f>VLOOKUP(A85,'Area Breakdown'!$B$1:$C$33,2,)</f>
        <v xml:space="preserve">Alexandria </v>
      </c>
      <c r="C85" s="2">
        <v>44290</v>
      </c>
      <c r="D85" s="3">
        <v>332.40000000000003</v>
      </c>
    </row>
    <row r="86" spans="1:4" ht="14.7" hidden="1" thickBot="1" x14ac:dyDescent="0.6">
      <c r="A86" s="1" t="s">
        <v>17</v>
      </c>
      <c r="B86" t="str">
        <f>VLOOKUP(A86,'Area Breakdown'!$B$1:$C$33,2,)</f>
        <v>Heliopolis</v>
      </c>
      <c r="C86" s="2">
        <v>44290</v>
      </c>
      <c r="D86" s="3">
        <v>330</v>
      </c>
    </row>
    <row r="87" spans="1:4" ht="14.7" hidden="1" thickBot="1" x14ac:dyDescent="0.6">
      <c r="A87" s="1" t="s">
        <v>24</v>
      </c>
      <c r="B87" t="str">
        <f>VLOOKUP(A87,'Area Breakdown'!$B$1:$C$33,2,)</f>
        <v>October</v>
      </c>
      <c r="C87" s="2">
        <v>44290</v>
      </c>
      <c r="D87" s="3">
        <v>324.8</v>
      </c>
    </row>
    <row r="88" spans="1:4" ht="14.7" hidden="1" thickBot="1" x14ac:dyDescent="0.6">
      <c r="A88" s="1" t="s">
        <v>2</v>
      </c>
      <c r="B88" t="str">
        <f>VLOOKUP(A88,'Area Breakdown'!$B$1:$C$33,2,)</f>
        <v>Downtown</v>
      </c>
      <c r="C88" s="2">
        <v>44290</v>
      </c>
      <c r="D88" s="3">
        <v>279.2</v>
      </c>
    </row>
    <row r="89" spans="1:4" ht="14.7" hidden="1" thickBot="1" x14ac:dyDescent="0.6">
      <c r="A89" s="1" t="s">
        <v>13</v>
      </c>
      <c r="B89" t="str">
        <f>VLOOKUP(A89,'Area Breakdown'!$B$1:$C$33,2,)</f>
        <v>Heliopolis</v>
      </c>
      <c r="C89" s="2">
        <v>44290</v>
      </c>
      <c r="D89" s="3">
        <v>238.4</v>
      </c>
    </row>
    <row r="90" spans="1:4" ht="14.7" hidden="1" thickBot="1" x14ac:dyDescent="0.6">
      <c r="A90" s="1" t="s">
        <v>8</v>
      </c>
      <c r="B90" t="str">
        <f>VLOOKUP(A90,'Area Breakdown'!$B$1:$C$33,2,)</f>
        <v>Heliopolis</v>
      </c>
      <c r="C90" s="2">
        <v>44290</v>
      </c>
      <c r="D90" s="3">
        <v>209.60000000000002</v>
      </c>
    </row>
    <row r="91" spans="1:4" ht="14.7" hidden="1" thickBot="1" x14ac:dyDescent="0.6">
      <c r="A91" s="1" t="s">
        <v>7</v>
      </c>
      <c r="B91" t="str">
        <f>VLOOKUP(A91,'Area Breakdown'!$B$1:$C$33,2,)</f>
        <v>October</v>
      </c>
      <c r="C91" s="2">
        <v>44290</v>
      </c>
      <c r="D91" s="3">
        <v>51.2</v>
      </c>
    </row>
    <row r="92" spans="1:4" ht="14.7" hidden="1" thickBot="1" x14ac:dyDescent="0.6">
      <c r="A92" s="1" t="s">
        <v>11</v>
      </c>
      <c r="B92" t="str">
        <f>VLOOKUP(A92,'Area Breakdown'!$B$1:$C$33,2,)</f>
        <v>New Cairo</v>
      </c>
      <c r="C92" s="2">
        <v>44290</v>
      </c>
      <c r="D92" s="3">
        <v>35.200000000000003</v>
      </c>
    </row>
    <row r="93" spans="1:4" ht="14.7" hidden="1" thickBot="1" x14ac:dyDescent="0.6">
      <c r="A93" s="1" t="s">
        <v>12</v>
      </c>
      <c r="B93" t="str">
        <f>VLOOKUP(A93,'Area Breakdown'!$B$1:$C$33,2,)</f>
        <v>New Cairo</v>
      </c>
      <c r="C93" s="2">
        <v>44290</v>
      </c>
      <c r="D93" s="3">
        <v>2380.8000000000002</v>
      </c>
    </row>
    <row r="94" spans="1:4" ht="14.7" hidden="1" thickBot="1" x14ac:dyDescent="0.6">
      <c r="A94" s="1" t="s">
        <v>0</v>
      </c>
      <c r="B94" t="str">
        <f>VLOOKUP(A94,'Area Breakdown'!$B$1:$C$33,2,)</f>
        <v>Downtown</v>
      </c>
      <c r="C94" s="2">
        <v>44291</v>
      </c>
      <c r="D94" s="3">
        <v>989.2</v>
      </c>
    </row>
    <row r="95" spans="1:4" ht="14.7" hidden="1" thickBot="1" x14ac:dyDescent="0.6">
      <c r="A95" s="1" t="s">
        <v>2</v>
      </c>
      <c r="B95" t="str">
        <f>VLOOKUP(A95,'Area Breakdown'!$B$1:$C$33,2,)</f>
        <v>Downtown</v>
      </c>
      <c r="C95" s="2">
        <v>44291</v>
      </c>
      <c r="D95" s="3">
        <v>976.80000000000007</v>
      </c>
    </row>
    <row r="96" spans="1:4" ht="14.7" hidden="1" thickBot="1" x14ac:dyDescent="0.6">
      <c r="A96" s="1" t="s">
        <v>25</v>
      </c>
      <c r="B96" t="str">
        <f>VLOOKUP(A96,'Area Breakdown'!$B$1:$C$33,2,)</f>
        <v>October</v>
      </c>
      <c r="C96" s="2">
        <v>44291</v>
      </c>
      <c r="D96" s="3">
        <v>880</v>
      </c>
    </row>
    <row r="97" spans="1:4" ht="14.7" hidden="1" thickBot="1" x14ac:dyDescent="0.6">
      <c r="A97" s="1" t="s">
        <v>19</v>
      </c>
      <c r="B97" t="str">
        <f>VLOOKUP(A97,'Area Breakdown'!$B$1:$C$33,2,)</f>
        <v>Downtown</v>
      </c>
      <c r="C97" s="2">
        <v>44291</v>
      </c>
      <c r="D97" s="3">
        <v>830.80000000000007</v>
      </c>
    </row>
    <row r="98" spans="1:4" ht="14.7" hidden="1" thickBot="1" x14ac:dyDescent="0.6">
      <c r="A98" s="1" t="s">
        <v>22</v>
      </c>
      <c r="B98" t="str">
        <f>VLOOKUP(A98,'Area Breakdown'!$B$1:$C$33,2,)</f>
        <v>Heliopolis</v>
      </c>
      <c r="C98" s="2">
        <v>44291</v>
      </c>
      <c r="D98" s="3">
        <v>798.80000000000007</v>
      </c>
    </row>
    <row r="99" spans="1:4" ht="14.7" hidden="1" thickBot="1" x14ac:dyDescent="0.6">
      <c r="A99" s="1" t="s">
        <v>16</v>
      </c>
      <c r="B99" t="str">
        <f>VLOOKUP(A99,'Area Breakdown'!$B$1:$C$33,2,)</f>
        <v>Downtown</v>
      </c>
      <c r="C99" s="2">
        <v>44291</v>
      </c>
      <c r="D99" s="3">
        <v>766.40000000000009</v>
      </c>
    </row>
    <row r="100" spans="1:4" ht="14.7" hidden="1" thickBot="1" x14ac:dyDescent="0.6">
      <c r="A100" s="1" t="s">
        <v>21</v>
      </c>
      <c r="B100" t="str">
        <f>VLOOKUP(A100,'Area Breakdown'!$B$1:$C$33,2,)</f>
        <v>Heliopolis</v>
      </c>
      <c r="C100" s="2">
        <v>44291</v>
      </c>
      <c r="D100" s="3">
        <v>765.2</v>
      </c>
    </row>
    <row r="101" spans="1:4" ht="14.7" hidden="1" thickBot="1" x14ac:dyDescent="0.6">
      <c r="A101" s="1" t="s">
        <v>17</v>
      </c>
      <c r="B101" t="str">
        <f>VLOOKUP(A101,'Area Breakdown'!$B$1:$C$33,2,)</f>
        <v>Heliopolis</v>
      </c>
      <c r="C101" s="2">
        <v>44291</v>
      </c>
      <c r="D101" s="3">
        <v>655.20000000000005</v>
      </c>
    </row>
    <row r="102" spans="1:4" ht="14.7" hidden="1" thickBot="1" x14ac:dyDescent="0.6">
      <c r="A102" s="1" t="s">
        <v>4</v>
      </c>
      <c r="B102" t="str">
        <f>VLOOKUP(A102,'Area Breakdown'!$B$1:$C$33,2,)</f>
        <v>Downtown</v>
      </c>
      <c r="C102" s="2">
        <v>44291</v>
      </c>
      <c r="D102" s="3">
        <v>650</v>
      </c>
    </row>
    <row r="103" spans="1:4" ht="14.7" hidden="1" thickBot="1" x14ac:dyDescent="0.6">
      <c r="A103" s="1" t="s">
        <v>20</v>
      </c>
      <c r="B103" t="str">
        <f>VLOOKUP(A103,'Area Breakdown'!$B$1:$C$33,2,)</f>
        <v>Downtown</v>
      </c>
      <c r="C103" s="2">
        <v>44291</v>
      </c>
      <c r="D103" s="3">
        <v>563.20000000000005</v>
      </c>
    </row>
    <row r="104" spans="1:4" ht="14.7" hidden="1" thickBot="1" x14ac:dyDescent="0.6">
      <c r="A104" s="1" t="s">
        <v>9</v>
      </c>
      <c r="B104" t="str">
        <f>VLOOKUP(A104,'Area Breakdown'!$B$1:$C$33,2,)</f>
        <v xml:space="preserve">Alexandria </v>
      </c>
      <c r="C104" s="2">
        <v>44291</v>
      </c>
      <c r="D104" s="3">
        <v>526</v>
      </c>
    </row>
    <row r="105" spans="1:4" ht="14.7" hidden="1" thickBot="1" x14ac:dyDescent="0.6">
      <c r="A105" s="1" t="s">
        <v>3</v>
      </c>
      <c r="B105" t="str">
        <f>VLOOKUP(A105,'Area Breakdown'!$B$1:$C$33,2,)</f>
        <v>Downtown</v>
      </c>
      <c r="C105" s="2">
        <v>44291</v>
      </c>
      <c r="D105" s="3">
        <v>524.4</v>
      </c>
    </row>
    <row r="106" spans="1:4" ht="14.7" hidden="1" thickBot="1" x14ac:dyDescent="0.6">
      <c r="A106" s="1" t="s">
        <v>24</v>
      </c>
      <c r="B106" t="str">
        <f>VLOOKUP(A106,'Area Breakdown'!$B$1:$C$33,2,)</f>
        <v>October</v>
      </c>
      <c r="C106" s="2">
        <v>44291</v>
      </c>
      <c r="D106" s="3">
        <v>489.6</v>
      </c>
    </row>
    <row r="107" spans="1:4" ht="14.7" hidden="1" thickBot="1" x14ac:dyDescent="0.6">
      <c r="A107" s="1" t="s">
        <v>23</v>
      </c>
      <c r="B107" t="str">
        <f>VLOOKUP(A107,'Area Breakdown'!$B$1:$C$33,2,)</f>
        <v>Heliopolis</v>
      </c>
      <c r="C107" s="2">
        <v>44291</v>
      </c>
      <c r="D107" s="3">
        <v>467.20000000000005</v>
      </c>
    </row>
    <row r="108" spans="1:4" ht="14.7" hidden="1" thickBot="1" x14ac:dyDescent="0.6">
      <c r="A108" s="1" t="s">
        <v>13</v>
      </c>
      <c r="B108" t="str">
        <f>VLOOKUP(A108,'Area Breakdown'!$B$1:$C$33,2,)</f>
        <v>Heliopolis</v>
      </c>
      <c r="C108" s="2">
        <v>44291</v>
      </c>
      <c r="D108" s="3">
        <v>341.20000000000005</v>
      </c>
    </row>
    <row r="109" spans="1:4" ht="14.7" hidden="1" thickBot="1" x14ac:dyDescent="0.6">
      <c r="A109" s="1" t="s">
        <v>8</v>
      </c>
      <c r="B109" t="str">
        <f>VLOOKUP(A109,'Area Breakdown'!$B$1:$C$33,2,)</f>
        <v>Heliopolis</v>
      </c>
      <c r="C109" s="2">
        <v>44291</v>
      </c>
      <c r="D109" s="3">
        <v>322.40000000000003</v>
      </c>
    </row>
    <row r="110" spans="1:4" ht="14.7" hidden="1" thickBot="1" x14ac:dyDescent="0.6">
      <c r="A110" s="1" t="s">
        <v>1</v>
      </c>
      <c r="B110" t="str">
        <f>VLOOKUP(A110,'Area Breakdown'!$B$1:$C$33,2,)</f>
        <v>Downtown</v>
      </c>
      <c r="C110" s="2">
        <v>44291</v>
      </c>
      <c r="D110" s="3">
        <v>232.8</v>
      </c>
    </row>
    <row r="111" spans="1:4" ht="14.7" hidden="1" thickBot="1" x14ac:dyDescent="0.6">
      <c r="A111" s="1" t="s">
        <v>11</v>
      </c>
      <c r="B111" t="str">
        <f>VLOOKUP(A111,'Area Breakdown'!$B$1:$C$33,2,)</f>
        <v>New Cairo</v>
      </c>
      <c r="C111" s="2">
        <v>44291</v>
      </c>
      <c r="D111" s="3">
        <v>188.8</v>
      </c>
    </row>
    <row r="112" spans="1:4" ht="14.7" hidden="1" thickBot="1" x14ac:dyDescent="0.6">
      <c r="A112" s="1" t="s">
        <v>6</v>
      </c>
      <c r="B112" t="str">
        <f>VLOOKUP(A112,'Area Breakdown'!$B$1:$C$33,2,)</f>
        <v xml:space="preserve">Alexandria </v>
      </c>
      <c r="C112" s="2">
        <v>44291</v>
      </c>
      <c r="D112" s="3">
        <v>137.20000000000002</v>
      </c>
    </row>
    <row r="113" spans="1:4" ht="14.7" hidden="1" thickBot="1" x14ac:dyDescent="0.6">
      <c r="A113" s="1" t="s">
        <v>10</v>
      </c>
      <c r="B113" t="str">
        <f>VLOOKUP(A113,'Area Breakdown'!$B$1:$C$33,2,)</f>
        <v xml:space="preserve">Alexandria </v>
      </c>
      <c r="C113" s="2">
        <v>44291</v>
      </c>
      <c r="D113" s="3">
        <v>130</v>
      </c>
    </row>
    <row r="114" spans="1:4" ht="14.7" hidden="1" thickBot="1" x14ac:dyDescent="0.6">
      <c r="A114" s="1" t="s">
        <v>7</v>
      </c>
      <c r="B114" t="str">
        <f>VLOOKUP(A114,'Area Breakdown'!$B$1:$C$33,2,)</f>
        <v>October</v>
      </c>
      <c r="C114" s="2">
        <v>44291</v>
      </c>
      <c r="D114" s="3">
        <v>94.4</v>
      </c>
    </row>
    <row r="115" spans="1:4" ht="14.7" hidden="1" thickBot="1" x14ac:dyDescent="0.6">
      <c r="A115" s="1" t="s">
        <v>15</v>
      </c>
      <c r="B115" t="str">
        <f>VLOOKUP(A115,'Area Breakdown'!$B$1:$C$33,2,)</f>
        <v>Heliopolis</v>
      </c>
      <c r="C115" s="2">
        <v>44291</v>
      </c>
      <c r="D115" s="3">
        <v>55.2</v>
      </c>
    </row>
    <row r="116" spans="1:4" ht="14.7" hidden="1" thickBot="1" x14ac:dyDescent="0.6">
      <c r="A116" s="1" t="s">
        <v>12</v>
      </c>
      <c r="B116" t="str">
        <f>VLOOKUP(A116,'Area Breakdown'!$B$1:$C$33,2,)</f>
        <v>New Cairo</v>
      </c>
      <c r="C116" s="2">
        <v>44291</v>
      </c>
      <c r="D116" s="3">
        <v>1808.8000000000002</v>
      </c>
    </row>
    <row r="117" spans="1:4" ht="14.7" hidden="1" thickBot="1" x14ac:dyDescent="0.6">
      <c r="A117" s="1" t="s">
        <v>20</v>
      </c>
      <c r="B117" t="str">
        <f>VLOOKUP(A117,'Area Breakdown'!$B$1:$C$33,2,)</f>
        <v>Downtown</v>
      </c>
      <c r="C117" s="2">
        <v>44292</v>
      </c>
      <c r="D117" s="3">
        <v>1046.4000000000001</v>
      </c>
    </row>
    <row r="118" spans="1:4" ht="14.7" hidden="1" thickBot="1" x14ac:dyDescent="0.6">
      <c r="A118" s="1" t="s">
        <v>2</v>
      </c>
      <c r="B118" t="str">
        <f>VLOOKUP(A118,'Area Breakdown'!$B$1:$C$33,2,)</f>
        <v>Downtown</v>
      </c>
      <c r="C118" s="2">
        <v>44292</v>
      </c>
      <c r="D118" s="3">
        <v>954</v>
      </c>
    </row>
    <row r="119" spans="1:4" ht="14.7" hidden="1" thickBot="1" x14ac:dyDescent="0.6">
      <c r="A119" s="1" t="s">
        <v>4</v>
      </c>
      <c r="B119" t="str">
        <f>VLOOKUP(A119,'Area Breakdown'!$B$1:$C$33,2,)</f>
        <v>Downtown</v>
      </c>
      <c r="C119" s="2">
        <v>44292</v>
      </c>
      <c r="D119" s="3">
        <v>852.80000000000007</v>
      </c>
    </row>
    <row r="120" spans="1:4" ht="14.7" hidden="1" thickBot="1" x14ac:dyDescent="0.6">
      <c r="A120" s="1" t="s">
        <v>17</v>
      </c>
      <c r="B120" t="str">
        <f>VLOOKUP(A120,'Area Breakdown'!$B$1:$C$33,2,)</f>
        <v>Heliopolis</v>
      </c>
      <c r="C120" s="2">
        <v>44292</v>
      </c>
      <c r="D120" s="3">
        <v>808.40000000000009</v>
      </c>
    </row>
    <row r="121" spans="1:4" ht="14.7" hidden="1" thickBot="1" x14ac:dyDescent="0.6">
      <c r="A121" s="1" t="s">
        <v>16</v>
      </c>
      <c r="B121" t="str">
        <f>VLOOKUP(A121,'Area Breakdown'!$B$1:$C$33,2,)</f>
        <v>Downtown</v>
      </c>
      <c r="C121" s="2">
        <v>44292</v>
      </c>
      <c r="D121" s="3">
        <v>797.2</v>
      </c>
    </row>
    <row r="122" spans="1:4" ht="14.7" hidden="1" thickBot="1" x14ac:dyDescent="0.6">
      <c r="A122" s="1" t="s">
        <v>22</v>
      </c>
      <c r="B122" t="str">
        <f>VLOOKUP(A122,'Area Breakdown'!$B$1:$C$33,2,)</f>
        <v>Heliopolis</v>
      </c>
      <c r="C122" s="2">
        <v>44292</v>
      </c>
      <c r="D122" s="3">
        <v>795.6</v>
      </c>
    </row>
    <row r="123" spans="1:4" ht="14.7" hidden="1" thickBot="1" x14ac:dyDescent="0.6">
      <c r="A123" s="1" t="s">
        <v>3</v>
      </c>
      <c r="B123" t="str">
        <f>VLOOKUP(A123,'Area Breakdown'!$B$1:$C$33,2,)</f>
        <v>Downtown</v>
      </c>
      <c r="C123" s="2">
        <v>44292</v>
      </c>
      <c r="D123" s="3">
        <v>774</v>
      </c>
    </row>
    <row r="124" spans="1:4" ht="14.7" hidden="1" thickBot="1" x14ac:dyDescent="0.6">
      <c r="A124" s="1" t="s">
        <v>19</v>
      </c>
      <c r="B124" t="str">
        <f>VLOOKUP(A124,'Area Breakdown'!$B$1:$C$33,2,)</f>
        <v>Downtown</v>
      </c>
      <c r="C124" s="2">
        <v>44292</v>
      </c>
      <c r="D124" s="3">
        <v>752.40000000000009</v>
      </c>
    </row>
    <row r="125" spans="1:4" ht="14.7" hidden="1" thickBot="1" x14ac:dyDescent="0.6">
      <c r="A125" s="1" t="s">
        <v>25</v>
      </c>
      <c r="B125" t="str">
        <f>VLOOKUP(A125,'Area Breakdown'!$B$1:$C$33,2,)</f>
        <v>October</v>
      </c>
      <c r="C125" s="2">
        <v>44292</v>
      </c>
      <c r="D125" s="3">
        <v>626.80000000000007</v>
      </c>
    </row>
    <row r="126" spans="1:4" ht="14.7" hidden="1" thickBot="1" x14ac:dyDescent="0.6">
      <c r="A126" s="1" t="s">
        <v>10</v>
      </c>
      <c r="B126" t="str">
        <f>VLOOKUP(A126,'Area Breakdown'!$B$1:$C$33,2,)</f>
        <v xml:space="preserve">Alexandria </v>
      </c>
      <c r="C126" s="2">
        <v>44292</v>
      </c>
      <c r="D126" s="3">
        <v>497.20000000000005</v>
      </c>
    </row>
    <row r="127" spans="1:4" ht="14.7" hidden="1" thickBot="1" x14ac:dyDescent="0.6">
      <c r="A127" s="1" t="s">
        <v>23</v>
      </c>
      <c r="B127" t="str">
        <f>VLOOKUP(A127,'Area Breakdown'!$B$1:$C$33,2,)</f>
        <v>Heliopolis</v>
      </c>
      <c r="C127" s="2">
        <v>44292</v>
      </c>
      <c r="D127" s="3">
        <v>329.6</v>
      </c>
    </row>
    <row r="128" spans="1:4" ht="14.7" hidden="1" thickBot="1" x14ac:dyDescent="0.6">
      <c r="A128" s="1" t="s">
        <v>24</v>
      </c>
      <c r="B128" t="str">
        <f>VLOOKUP(A128,'Area Breakdown'!$B$1:$C$33,2,)</f>
        <v>October</v>
      </c>
      <c r="C128" s="2">
        <v>44292</v>
      </c>
      <c r="D128" s="3">
        <v>305.2</v>
      </c>
    </row>
    <row r="129" spans="1:4" ht="14.7" hidden="1" thickBot="1" x14ac:dyDescent="0.6">
      <c r="A129" s="1" t="s">
        <v>9</v>
      </c>
      <c r="B129" t="str">
        <f>VLOOKUP(A129,'Area Breakdown'!$B$1:$C$33,2,)</f>
        <v xml:space="preserve">Alexandria </v>
      </c>
      <c r="C129" s="2">
        <v>44292</v>
      </c>
      <c r="D129" s="3">
        <v>296</v>
      </c>
    </row>
    <row r="130" spans="1:4" ht="14.7" hidden="1" thickBot="1" x14ac:dyDescent="0.6">
      <c r="A130" s="1" t="s">
        <v>1</v>
      </c>
      <c r="B130" t="str">
        <f>VLOOKUP(A130,'Area Breakdown'!$B$1:$C$33,2,)</f>
        <v>Downtown</v>
      </c>
      <c r="C130" s="2">
        <v>44292</v>
      </c>
      <c r="D130" s="3">
        <v>288.8</v>
      </c>
    </row>
    <row r="131" spans="1:4" ht="14.7" hidden="1" thickBot="1" x14ac:dyDescent="0.6">
      <c r="A131" s="1" t="s">
        <v>6</v>
      </c>
      <c r="B131" t="str">
        <f>VLOOKUP(A131,'Area Breakdown'!$B$1:$C$33,2,)</f>
        <v xml:space="preserve">Alexandria </v>
      </c>
      <c r="C131" s="2">
        <v>44292</v>
      </c>
      <c r="D131" s="3">
        <v>272.40000000000003</v>
      </c>
    </row>
    <row r="132" spans="1:4" ht="14.7" hidden="1" thickBot="1" x14ac:dyDescent="0.6">
      <c r="A132" s="1" t="s">
        <v>11</v>
      </c>
      <c r="B132" t="str">
        <f>VLOOKUP(A132,'Area Breakdown'!$B$1:$C$33,2,)</f>
        <v>New Cairo</v>
      </c>
      <c r="C132" s="2">
        <v>44292</v>
      </c>
      <c r="D132" s="3">
        <v>268.8</v>
      </c>
    </row>
    <row r="133" spans="1:4" ht="14.7" hidden="1" thickBot="1" x14ac:dyDescent="0.6">
      <c r="A133" s="1" t="s">
        <v>8</v>
      </c>
      <c r="B133" t="str">
        <f>VLOOKUP(A133,'Area Breakdown'!$B$1:$C$33,2,)</f>
        <v>Heliopolis</v>
      </c>
      <c r="C133" s="2">
        <v>44292</v>
      </c>
      <c r="D133" s="3">
        <v>252.4</v>
      </c>
    </row>
    <row r="134" spans="1:4" ht="14.7" hidden="1" thickBot="1" x14ac:dyDescent="0.6">
      <c r="A134" s="1" t="s">
        <v>13</v>
      </c>
      <c r="B134" t="str">
        <f>VLOOKUP(A134,'Area Breakdown'!$B$1:$C$33,2,)</f>
        <v>Heliopolis</v>
      </c>
      <c r="C134" s="2">
        <v>44292</v>
      </c>
      <c r="D134" s="3">
        <v>208.4</v>
      </c>
    </row>
    <row r="135" spans="1:4" ht="14.7" hidden="1" thickBot="1" x14ac:dyDescent="0.6">
      <c r="A135" s="1" t="s">
        <v>15</v>
      </c>
      <c r="B135" t="str">
        <f>VLOOKUP(A135,'Area Breakdown'!$B$1:$C$33,2,)</f>
        <v>Heliopolis</v>
      </c>
      <c r="C135" s="2">
        <v>44292</v>
      </c>
      <c r="D135" s="3">
        <v>45.2</v>
      </c>
    </row>
    <row r="136" spans="1:4" ht="14.7" hidden="1" thickBot="1" x14ac:dyDescent="0.6">
      <c r="A136" s="1" t="s">
        <v>12</v>
      </c>
      <c r="B136" t="str">
        <f>VLOOKUP(A136,'Area Breakdown'!$B$1:$C$33,2,)</f>
        <v>New Cairo</v>
      </c>
      <c r="C136" s="2">
        <v>44292</v>
      </c>
      <c r="D136" s="3">
        <v>2302.4</v>
      </c>
    </row>
    <row r="137" spans="1:4" ht="14.7" hidden="1" thickBot="1" x14ac:dyDescent="0.6">
      <c r="A137" s="1" t="s">
        <v>21</v>
      </c>
      <c r="B137" t="str">
        <f>VLOOKUP(A137,'Area Breakdown'!$B$1:$C$33,2,)</f>
        <v>Heliopolis</v>
      </c>
      <c r="C137" s="2">
        <v>44292</v>
      </c>
      <c r="D137" s="3">
        <v>1336.8000000000002</v>
      </c>
    </row>
    <row r="138" spans="1:4" ht="14.7" hidden="1" thickBot="1" x14ac:dyDescent="0.6">
      <c r="A138" s="1" t="s">
        <v>0</v>
      </c>
      <c r="B138" t="str">
        <f>VLOOKUP(A138,'Area Breakdown'!$B$1:$C$33,2,)</f>
        <v>Downtown</v>
      </c>
      <c r="C138" s="2">
        <v>44292</v>
      </c>
      <c r="D138" s="3">
        <v>1299.2</v>
      </c>
    </row>
    <row r="139" spans="1:4" ht="14.7" hidden="1" thickBot="1" x14ac:dyDescent="0.6">
      <c r="A139" s="1" t="s">
        <v>12</v>
      </c>
      <c r="B139" t="str">
        <f>VLOOKUP(A139,'Area Breakdown'!$B$1:$C$33,2,)</f>
        <v>New Cairo</v>
      </c>
      <c r="C139" s="2">
        <v>44293</v>
      </c>
      <c r="D139" s="3">
        <v>1402.4</v>
      </c>
    </row>
    <row r="140" spans="1:4" ht="14.7" hidden="1" thickBot="1" x14ac:dyDescent="0.6">
      <c r="A140" s="1" t="s">
        <v>0</v>
      </c>
      <c r="B140" t="str">
        <f>VLOOKUP(A140,'Area Breakdown'!$B$1:$C$33,2,)</f>
        <v>Downtown</v>
      </c>
      <c r="C140" s="2">
        <v>44293</v>
      </c>
      <c r="D140" s="3">
        <v>1148.8</v>
      </c>
    </row>
    <row r="141" spans="1:4" ht="14.7" hidden="1" thickBot="1" x14ac:dyDescent="0.6">
      <c r="A141" s="1" t="s">
        <v>16</v>
      </c>
      <c r="B141" t="str">
        <f>VLOOKUP(A141,'Area Breakdown'!$B$1:$C$33,2,)</f>
        <v>Downtown</v>
      </c>
      <c r="C141" s="2">
        <v>44293</v>
      </c>
      <c r="D141" s="3">
        <v>875.2</v>
      </c>
    </row>
    <row r="142" spans="1:4" ht="14.7" hidden="1" thickBot="1" x14ac:dyDescent="0.6">
      <c r="A142" s="1" t="s">
        <v>21</v>
      </c>
      <c r="B142" t="str">
        <f>VLOOKUP(A142,'Area Breakdown'!$B$1:$C$33,2,)</f>
        <v>Heliopolis</v>
      </c>
      <c r="C142" s="2">
        <v>44293</v>
      </c>
      <c r="D142" s="3">
        <v>786.40000000000009</v>
      </c>
    </row>
    <row r="143" spans="1:4" ht="14.7" hidden="1" thickBot="1" x14ac:dyDescent="0.6">
      <c r="A143" s="1" t="s">
        <v>19</v>
      </c>
      <c r="B143" t="str">
        <f>VLOOKUP(A143,'Area Breakdown'!$B$1:$C$33,2,)</f>
        <v>Downtown</v>
      </c>
      <c r="C143" s="2">
        <v>44293</v>
      </c>
      <c r="D143" s="3">
        <v>719.2</v>
      </c>
    </row>
    <row r="144" spans="1:4" ht="14.7" hidden="1" thickBot="1" x14ac:dyDescent="0.6">
      <c r="A144" s="1" t="s">
        <v>4</v>
      </c>
      <c r="B144" t="str">
        <f>VLOOKUP(A144,'Area Breakdown'!$B$1:$C$33,2,)</f>
        <v>Downtown</v>
      </c>
      <c r="C144" s="2">
        <v>44293</v>
      </c>
      <c r="D144" s="3">
        <v>670.80000000000007</v>
      </c>
    </row>
    <row r="145" spans="1:4" ht="14.7" hidden="1" thickBot="1" x14ac:dyDescent="0.6">
      <c r="A145" s="1" t="s">
        <v>3</v>
      </c>
      <c r="B145" t="str">
        <f>VLOOKUP(A145,'Area Breakdown'!$B$1:$C$33,2,)</f>
        <v>Downtown</v>
      </c>
      <c r="C145" s="2">
        <v>44293</v>
      </c>
      <c r="D145" s="3">
        <v>658.40000000000009</v>
      </c>
    </row>
    <row r="146" spans="1:4" ht="14.7" hidden="1" thickBot="1" x14ac:dyDescent="0.6">
      <c r="A146" s="1" t="s">
        <v>20</v>
      </c>
      <c r="B146" t="str">
        <f>VLOOKUP(A146,'Area Breakdown'!$B$1:$C$33,2,)</f>
        <v>Downtown</v>
      </c>
      <c r="C146" s="2">
        <v>44293</v>
      </c>
      <c r="D146" s="3">
        <v>640.80000000000007</v>
      </c>
    </row>
    <row r="147" spans="1:4" ht="14.7" hidden="1" thickBot="1" x14ac:dyDescent="0.6">
      <c r="A147" s="1" t="s">
        <v>25</v>
      </c>
      <c r="B147" t="str">
        <f>VLOOKUP(A147,'Area Breakdown'!$B$1:$C$33,2,)</f>
        <v>October</v>
      </c>
      <c r="C147" s="2">
        <v>44293</v>
      </c>
      <c r="D147" s="3">
        <v>627.6</v>
      </c>
    </row>
    <row r="148" spans="1:4" ht="14.7" hidden="1" thickBot="1" x14ac:dyDescent="0.6">
      <c r="A148" s="1" t="s">
        <v>9</v>
      </c>
      <c r="B148" t="str">
        <f>VLOOKUP(A148,'Area Breakdown'!$B$1:$C$33,2,)</f>
        <v xml:space="preserve">Alexandria </v>
      </c>
      <c r="C148" s="2">
        <v>44293</v>
      </c>
      <c r="D148" s="3">
        <v>589.20000000000005</v>
      </c>
    </row>
    <row r="149" spans="1:4" ht="14.7" hidden="1" thickBot="1" x14ac:dyDescent="0.6">
      <c r="A149" s="1" t="s">
        <v>22</v>
      </c>
      <c r="B149" t="str">
        <f>VLOOKUP(A149,'Area Breakdown'!$B$1:$C$33,2,)</f>
        <v>Heliopolis</v>
      </c>
      <c r="C149" s="2">
        <v>44293</v>
      </c>
      <c r="D149" s="3">
        <v>587.20000000000005</v>
      </c>
    </row>
    <row r="150" spans="1:4" ht="14.7" hidden="1" thickBot="1" x14ac:dyDescent="0.6">
      <c r="A150" s="1" t="s">
        <v>2</v>
      </c>
      <c r="B150" t="str">
        <f>VLOOKUP(A150,'Area Breakdown'!$B$1:$C$33,2,)</f>
        <v>Downtown</v>
      </c>
      <c r="C150" s="2">
        <v>44293</v>
      </c>
      <c r="D150" s="3">
        <v>568</v>
      </c>
    </row>
    <row r="151" spans="1:4" ht="14.7" hidden="1" thickBot="1" x14ac:dyDescent="0.6">
      <c r="A151" s="1" t="s">
        <v>6</v>
      </c>
      <c r="B151" t="str">
        <f>VLOOKUP(A151,'Area Breakdown'!$B$1:$C$33,2,)</f>
        <v xml:space="preserve">Alexandria </v>
      </c>
      <c r="C151" s="2">
        <v>44293</v>
      </c>
      <c r="D151" s="3">
        <v>530.80000000000007</v>
      </c>
    </row>
    <row r="152" spans="1:4" ht="14.7" hidden="1" thickBot="1" x14ac:dyDescent="0.6">
      <c r="A152" s="1" t="s">
        <v>8</v>
      </c>
      <c r="B152" t="str">
        <f>VLOOKUP(A152,'Area Breakdown'!$B$1:$C$33,2,)</f>
        <v>Heliopolis</v>
      </c>
      <c r="C152" s="2">
        <v>44293</v>
      </c>
      <c r="D152" s="3">
        <v>462.8</v>
      </c>
    </row>
    <row r="153" spans="1:4" ht="14.7" hidden="1" thickBot="1" x14ac:dyDescent="0.6">
      <c r="A153" s="1" t="s">
        <v>17</v>
      </c>
      <c r="B153" t="str">
        <f>VLOOKUP(A153,'Area Breakdown'!$B$1:$C$33,2,)</f>
        <v>Heliopolis</v>
      </c>
      <c r="C153" s="2">
        <v>44293</v>
      </c>
      <c r="D153" s="3">
        <v>412.40000000000003</v>
      </c>
    </row>
    <row r="154" spans="1:4" ht="14.7" hidden="1" thickBot="1" x14ac:dyDescent="0.6">
      <c r="A154" s="1" t="s">
        <v>24</v>
      </c>
      <c r="B154" t="str">
        <f>VLOOKUP(A154,'Area Breakdown'!$B$1:$C$33,2,)</f>
        <v>October</v>
      </c>
      <c r="C154" s="2">
        <v>44293</v>
      </c>
      <c r="D154" s="3">
        <v>400.40000000000003</v>
      </c>
    </row>
    <row r="155" spans="1:4" ht="14.7" hidden="1" thickBot="1" x14ac:dyDescent="0.6">
      <c r="A155" s="1" t="s">
        <v>1</v>
      </c>
      <c r="B155" t="str">
        <f>VLOOKUP(A155,'Area Breakdown'!$B$1:$C$33,2,)</f>
        <v>Downtown</v>
      </c>
      <c r="C155" s="2">
        <v>44293</v>
      </c>
      <c r="D155" s="3">
        <v>295.60000000000002</v>
      </c>
    </row>
    <row r="156" spans="1:4" ht="14.7" hidden="1" thickBot="1" x14ac:dyDescent="0.6">
      <c r="A156" s="1" t="s">
        <v>23</v>
      </c>
      <c r="B156" t="str">
        <f>VLOOKUP(A156,'Area Breakdown'!$B$1:$C$33,2,)</f>
        <v>Heliopolis</v>
      </c>
      <c r="C156" s="2">
        <v>44293</v>
      </c>
      <c r="D156" s="3">
        <v>270</v>
      </c>
    </row>
    <row r="157" spans="1:4" ht="14.7" hidden="1" thickBot="1" x14ac:dyDescent="0.6">
      <c r="A157" s="1" t="s">
        <v>11</v>
      </c>
      <c r="B157" t="str">
        <f>VLOOKUP(A157,'Area Breakdown'!$B$1:$C$33,2,)</f>
        <v>New Cairo</v>
      </c>
      <c r="C157" s="2">
        <v>44293</v>
      </c>
      <c r="D157" s="3">
        <v>180.8</v>
      </c>
    </row>
    <row r="158" spans="1:4" ht="14.7" hidden="1" thickBot="1" x14ac:dyDescent="0.6">
      <c r="A158" s="1" t="s">
        <v>10</v>
      </c>
      <c r="B158" t="str">
        <f>VLOOKUP(A158,'Area Breakdown'!$B$1:$C$33,2,)</f>
        <v xml:space="preserve">Alexandria </v>
      </c>
      <c r="C158" s="2">
        <v>44293</v>
      </c>
      <c r="D158" s="3">
        <v>149.6</v>
      </c>
    </row>
    <row r="159" spans="1:4" ht="14.7" hidden="1" thickBot="1" x14ac:dyDescent="0.6">
      <c r="A159" s="1" t="s">
        <v>7</v>
      </c>
      <c r="B159" t="str">
        <f>VLOOKUP(A159,'Area Breakdown'!$B$1:$C$33,2,)</f>
        <v>October</v>
      </c>
      <c r="C159" s="2">
        <v>44293</v>
      </c>
      <c r="D159" s="3">
        <v>96.800000000000011</v>
      </c>
    </row>
    <row r="160" spans="1:4" ht="14.7" hidden="1" thickBot="1" x14ac:dyDescent="0.6">
      <c r="A160" s="1" t="s">
        <v>13</v>
      </c>
      <c r="B160" t="str">
        <f>VLOOKUP(A160,'Area Breakdown'!$B$1:$C$33,2,)</f>
        <v>Heliopolis</v>
      </c>
      <c r="C160" s="2">
        <v>44293</v>
      </c>
      <c r="D160" s="3">
        <v>59.6</v>
      </c>
    </row>
    <row r="161" spans="1:4" ht="14.7" hidden="1" thickBot="1" x14ac:dyDescent="0.6">
      <c r="A161" s="1" t="s">
        <v>15</v>
      </c>
      <c r="B161" t="str">
        <f>VLOOKUP(A161,'Area Breakdown'!$B$1:$C$33,2,)</f>
        <v>Heliopolis</v>
      </c>
      <c r="C161" s="2">
        <v>44293</v>
      </c>
      <c r="D161" s="3">
        <v>17.2</v>
      </c>
    </row>
    <row r="162" spans="1:4" ht="14.7" hidden="1" thickBot="1" x14ac:dyDescent="0.6">
      <c r="A162" s="1" t="s">
        <v>0</v>
      </c>
      <c r="B162" t="str">
        <f>VLOOKUP(A162,'Area Breakdown'!$B$1:$C$33,2,)</f>
        <v>Downtown</v>
      </c>
      <c r="C162" s="2">
        <v>44294</v>
      </c>
      <c r="D162" s="3">
        <v>1091.2</v>
      </c>
    </row>
    <row r="163" spans="1:4" ht="14.7" hidden="1" thickBot="1" x14ac:dyDescent="0.6">
      <c r="A163" s="1" t="s">
        <v>20</v>
      </c>
      <c r="B163" t="str">
        <f>VLOOKUP(A163,'Area Breakdown'!$B$1:$C$33,2,)</f>
        <v>Downtown</v>
      </c>
      <c r="C163" s="2">
        <v>44294</v>
      </c>
      <c r="D163" s="3">
        <v>973.6</v>
      </c>
    </row>
    <row r="164" spans="1:4" ht="14.7" hidden="1" thickBot="1" x14ac:dyDescent="0.6">
      <c r="A164" s="1" t="s">
        <v>2</v>
      </c>
      <c r="B164" t="str">
        <f>VLOOKUP(A164,'Area Breakdown'!$B$1:$C$33,2,)</f>
        <v>Downtown</v>
      </c>
      <c r="C164" s="2">
        <v>44294</v>
      </c>
      <c r="D164" s="3">
        <v>918.80000000000007</v>
      </c>
    </row>
    <row r="165" spans="1:4" ht="14.7" hidden="1" thickBot="1" x14ac:dyDescent="0.6">
      <c r="A165" s="1" t="s">
        <v>16</v>
      </c>
      <c r="B165" t="str">
        <f>VLOOKUP(A165,'Area Breakdown'!$B$1:$C$33,2,)</f>
        <v>Downtown</v>
      </c>
      <c r="C165" s="2">
        <v>44294</v>
      </c>
      <c r="D165" s="3">
        <v>862</v>
      </c>
    </row>
    <row r="166" spans="1:4" ht="14.7" hidden="1" thickBot="1" x14ac:dyDescent="0.6">
      <c r="A166" s="1" t="s">
        <v>19</v>
      </c>
      <c r="B166" t="str">
        <f>VLOOKUP(A166,'Area Breakdown'!$B$1:$C$33,2,)</f>
        <v>Downtown</v>
      </c>
      <c r="C166" s="2">
        <v>44294</v>
      </c>
      <c r="D166" s="3">
        <v>812</v>
      </c>
    </row>
    <row r="167" spans="1:4" ht="14.7" hidden="1" thickBot="1" x14ac:dyDescent="0.6">
      <c r="A167" s="1" t="s">
        <v>17</v>
      </c>
      <c r="B167" t="str">
        <f>VLOOKUP(A167,'Area Breakdown'!$B$1:$C$33,2,)</f>
        <v>Heliopolis</v>
      </c>
      <c r="C167" s="2">
        <v>44294</v>
      </c>
      <c r="D167" s="3">
        <v>763.2</v>
      </c>
    </row>
    <row r="168" spans="1:4" ht="14.7" hidden="1" thickBot="1" x14ac:dyDescent="0.6">
      <c r="A168" s="1" t="s">
        <v>21</v>
      </c>
      <c r="B168" t="str">
        <f>VLOOKUP(A168,'Area Breakdown'!$B$1:$C$33,2,)</f>
        <v>Heliopolis</v>
      </c>
      <c r="C168" s="2">
        <v>44294</v>
      </c>
      <c r="D168" s="3">
        <v>671.6</v>
      </c>
    </row>
    <row r="169" spans="1:4" ht="14.7" hidden="1" thickBot="1" x14ac:dyDescent="0.6">
      <c r="A169" s="1" t="s">
        <v>4</v>
      </c>
      <c r="B169" t="str">
        <f>VLOOKUP(A169,'Area Breakdown'!$B$1:$C$33,2,)</f>
        <v>Downtown</v>
      </c>
      <c r="C169" s="2">
        <v>44294</v>
      </c>
      <c r="D169" s="3">
        <v>612.4</v>
      </c>
    </row>
    <row r="170" spans="1:4" ht="14.7" hidden="1" thickBot="1" x14ac:dyDescent="0.6">
      <c r="A170" s="1" t="s">
        <v>22</v>
      </c>
      <c r="B170" t="str">
        <f>VLOOKUP(A170,'Area Breakdown'!$B$1:$C$33,2,)</f>
        <v>Heliopolis</v>
      </c>
      <c r="C170" s="2">
        <v>44294</v>
      </c>
      <c r="D170" s="3">
        <v>591.6</v>
      </c>
    </row>
    <row r="171" spans="1:4" ht="14.7" hidden="1" thickBot="1" x14ac:dyDescent="0.6">
      <c r="A171" s="1" t="s">
        <v>25</v>
      </c>
      <c r="B171" t="str">
        <f>VLOOKUP(A171,'Area Breakdown'!$B$1:$C$33,2,)</f>
        <v>October</v>
      </c>
      <c r="C171" s="2">
        <v>44294</v>
      </c>
      <c r="D171" s="3">
        <v>543.6</v>
      </c>
    </row>
    <row r="172" spans="1:4" ht="14.7" hidden="1" thickBot="1" x14ac:dyDescent="0.6">
      <c r="A172" s="1" t="s">
        <v>3</v>
      </c>
      <c r="B172" t="str">
        <f>VLOOKUP(A172,'Area Breakdown'!$B$1:$C$33,2,)</f>
        <v>Downtown</v>
      </c>
      <c r="C172" s="2">
        <v>44294</v>
      </c>
      <c r="D172" s="3">
        <v>516</v>
      </c>
    </row>
    <row r="173" spans="1:4" ht="14.7" hidden="1" thickBot="1" x14ac:dyDescent="0.6">
      <c r="A173" s="1" t="s">
        <v>24</v>
      </c>
      <c r="B173" t="str">
        <f>VLOOKUP(A173,'Area Breakdown'!$B$1:$C$33,2,)</f>
        <v>October</v>
      </c>
      <c r="C173" s="2">
        <v>44294</v>
      </c>
      <c r="D173" s="3">
        <v>444.8</v>
      </c>
    </row>
    <row r="174" spans="1:4" ht="14.7" hidden="1" thickBot="1" x14ac:dyDescent="0.6">
      <c r="A174" s="1" t="s">
        <v>6</v>
      </c>
      <c r="B174" t="str">
        <f>VLOOKUP(A174,'Area Breakdown'!$B$1:$C$33,2,)</f>
        <v xml:space="preserve">Alexandria </v>
      </c>
      <c r="C174" s="2">
        <v>44294</v>
      </c>
      <c r="D174" s="3">
        <v>408.40000000000003</v>
      </c>
    </row>
    <row r="175" spans="1:4" ht="14.7" hidden="1" thickBot="1" x14ac:dyDescent="0.6">
      <c r="A175" s="1" t="s">
        <v>23</v>
      </c>
      <c r="B175" t="str">
        <f>VLOOKUP(A175,'Area Breakdown'!$B$1:$C$33,2,)</f>
        <v>Heliopolis</v>
      </c>
      <c r="C175" s="2">
        <v>44294</v>
      </c>
      <c r="D175" s="3">
        <v>400</v>
      </c>
    </row>
    <row r="176" spans="1:4" ht="14.7" hidden="1" thickBot="1" x14ac:dyDescent="0.6">
      <c r="A176" s="1" t="s">
        <v>1</v>
      </c>
      <c r="B176" t="str">
        <f>VLOOKUP(A176,'Area Breakdown'!$B$1:$C$33,2,)</f>
        <v>Downtown</v>
      </c>
      <c r="C176" s="2">
        <v>44294</v>
      </c>
      <c r="D176" s="3">
        <v>399.20000000000005</v>
      </c>
    </row>
    <row r="177" spans="1:4" ht="14.7" hidden="1" thickBot="1" x14ac:dyDescent="0.6">
      <c r="A177" s="1" t="s">
        <v>8</v>
      </c>
      <c r="B177" t="str">
        <f>VLOOKUP(A177,'Area Breakdown'!$B$1:$C$33,2,)</f>
        <v>Heliopolis</v>
      </c>
      <c r="C177" s="2">
        <v>44294</v>
      </c>
      <c r="D177" s="3">
        <v>308</v>
      </c>
    </row>
    <row r="178" spans="1:4" ht="14.7" hidden="1" thickBot="1" x14ac:dyDescent="0.6">
      <c r="A178" s="1" t="s">
        <v>13</v>
      </c>
      <c r="B178" t="str">
        <f>VLOOKUP(A178,'Area Breakdown'!$B$1:$C$33,2,)</f>
        <v>Heliopolis</v>
      </c>
      <c r="C178" s="2">
        <v>44294</v>
      </c>
      <c r="D178" s="3">
        <v>207.60000000000002</v>
      </c>
    </row>
    <row r="179" spans="1:4" ht="14.7" hidden="1" thickBot="1" x14ac:dyDescent="0.6">
      <c r="A179" s="1" t="s">
        <v>10</v>
      </c>
      <c r="B179" t="str">
        <f>VLOOKUP(A179,'Area Breakdown'!$B$1:$C$33,2,)</f>
        <v xml:space="preserve">Alexandria </v>
      </c>
      <c r="C179" s="2">
        <v>44294</v>
      </c>
      <c r="D179" s="3">
        <v>206</v>
      </c>
    </row>
    <row r="180" spans="1:4" ht="14.7" hidden="1" thickBot="1" x14ac:dyDescent="0.6">
      <c r="A180" s="1" t="s">
        <v>9</v>
      </c>
      <c r="B180" t="str">
        <f>VLOOKUP(A180,'Area Breakdown'!$B$1:$C$33,2,)</f>
        <v xml:space="preserve">Alexandria </v>
      </c>
      <c r="C180" s="2">
        <v>44294</v>
      </c>
      <c r="D180" s="3">
        <v>181.60000000000002</v>
      </c>
    </row>
    <row r="181" spans="1:4" ht="14.7" hidden="1" thickBot="1" x14ac:dyDescent="0.6">
      <c r="A181" s="1" t="s">
        <v>11</v>
      </c>
      <c r="B181" t="str">
        <f>VLOOKUP(A181,'Area Breakdown'!$B$1:$C$33,2,)</f>
        <v>New Cairo</v>
      </c>
      <c r="C181" s="2">
        <v>44294</v>
      </c>
      <c r="D181" s="3">
        <v>144.4</v>
      </c>
    </row>
    <row r="182" spans="1:4" ht="14.7" hidden="1" thickBot="1" x14ac:dyDescent="0.6">
      <c r="A182" s="1" t="s">
        <v>7</v>
      </c>
      <c r="B182" t="str">
        <f>VLOOKUP(A182,'Area Breakdown'!$B$1:$C$33,2,)</f>
        <v>October</v>
      </c>
      <c r="C182" s="2">
        <v>44294</v>
      </c>
      <c r="D182" s="3">
        <v>134.4</v>
      </c>
    </row>
    <row r="183" spans="1:4" ht="14.7" hidden="1" thickBot="1" x14ac:dyDescent="0.6">
      <c r="A183" s="1" t="s">
        <v>15</v>
      </c>
      <c r="B183" t="str">
        <f>VLOOKUP(A183,'Area Breakdown'!$B$1:$C$33,2,)</f>
        <v>Heliopolis</v>
      </c>
      <c r="C183" s="2">
        <v>44294</v>
      </c>
      <c r="D183" s="3">
        <v>70.400000000000006</v>
      </c>
    </row>
    <row r="184" spans="1:4" ht="14.7" hidden="1" thickBot="1" x14ac:dyDescent="0.6">
      <c r="A184" s="1" t="s">
        <v>12</v>
      </c>
      <c r="B184" t="str">
        <f>VLOOKUP(A184,'Area Breakdown'!$B$1:$C$33,2,)</f>
        <v>New Cairo</v>
      </c>
      <c r="C184" s="2">
        <v>44294</v>
      </c>
      <c r="D184" s="3">
        <v>2321.6</v>
      </c>
    </row>
    <row r="185" spans="1:4" ht="14.7" hidden="1" thickBot="1" x14ac:dyDescent="0.6">
      <c r="A185" s="1" t="s">
        <v>25</v>
      </c>
      <c r="B185" t="str">
        <f>VLOOKUP(A185,'Area Breakdown'!$B$1:$C$33,2,)</f>
        <v>October</v>
      </c>
      <c r="C185" s="2">
        <v>44295</v>
      </c>
      <c r="D185" s="3">
        <v>881.6</v>
      </c>
    </row>
    <row r="186" spans="1:4" ht="14.7" hidden="1" thickBot="1" x14ac:dyDescent="0.6">
      <c r="A186" s="1" t="s">
        <v>22</v>
      </c>
      <c r="B186" t="str">
        <f>VLOOKUP(A186,'Area Breakdown'!$B$1:$C$33,2,)</f>
        <v>Heliopolis</v>
      </c>
      <c r="C186" s="2">
        <v>44295</v>
      </c>
      <c r="D186" s="3">
        <v>802</v>
      </c>
    </row>
    <row r="187" spans="1:4" ht="14.7" hidden="1" thickBot="1" x14ac:dyDescent="0.6">
      <c r="A187" s="1" t="s">
        <v>12</v>
      </c>
      <c r="B187" t="str">
        <f>VLOOKUP(A187,'Area Breakdown'!$B$1:$C$33,2,)</f>
        <v>New Cairo</v>
      </c>
      <c r="C187" s="2">
        <v>44295</v>
      </c>
      <c r="D187" s="3">
        <v>753.2</v>
      </c>
    </row>
    <row r="188" spans="1:4" ht="14.7" hidden="1" thickBot="1" x14ac:dyDescent="0.6">
      <c r="A188" s="1" t="s">
        <v>16</v>
      </c>
      <c r="B188" t="str">
        <f>VLOOKUP(A188,'Area Breakdown'!$B$1:$C$33,2,)</f>
        <v>Downtown</v>
      </c>
      <c r="C188" s="2">
        <v>44295</v>
      </c>
      <c r="D188" s="3">
        <v>702</v>
      </c>
    </row>
    <row r="189" spans="1:4" ht="14.7" hidden="1" thickBot="1" x14ac:dyDescent="0.6">
      <c r="A189" s="1" t="s">
        <v>2</v>
      </c>
      <c r="B189" t="str">
        <f>VLOOKUP(A189,'Area Breakdown'!$B$1:$C$33,2,)</f>
        <v>Downtown</v>
      </c>
      <c r="C189" s="2">
        <v>44295</v>
      </c>
      <c r="D189" s="3">
        <v>634.40000000000009</v>
      </c>
    </row>
    <row r="190" spans="1:4" ht="14.7" hidden="1" thickBot="1" x14ac:dyDescent="0.6">
      <c r="A190" s="1" t="s">
        <v>9</v>
      </c>
      <c r="B190" t="str">
        <f>VLOOKUP(A190,'Area Breakdown'!$B$1:$C$33,2,)</f>
        <v xml:space="preserve">Alexandria </v>
      </c>
      <c r="C190" s="2">
        <v>44295</v>
      </c>
      <c r="D190" s="3">
        <v>566.80000000000007</v>
      </c>
    </row>
    <row r="191" spans="1:4" ht="14.7" hidden="1" thickBot="1" x14ac:dyDescent="0.6">
      <c r="A191" s="1" t="s">
        <v>0</v>
      </c>
      <c r="B191" t="str">
        <f>VLOOKUP(A191,'Area Breakdown'!$B$1:$C$33,2,)</f>
        <v>Downtown</v>
      </c>
      <c r="C191" s="2">
        <v>44295</v>
      </c>
      <c r="D191" s="3">
        <v>551.6</v>
      </c>
    </row>
    <row r="192" spans="1:4" ht="14.7" hidden="1" thickBot="1" x14ac:dyDescent="0.6">
      <c r="A192" s="1" t="s">
        <v>20</v>
      </c>
      <c r="B192" t="str">
        <f>VLOOKUP(A192,'Area Breakdown'!$B$1:$C$33,2,)</f>
        <v>Downtown</v>
      </c>
      <c r="C192" s="2">
        <v>44295</v>
      </c>
      <c r="D192" s="3">
        <v>520.80000000000007</v>
      </c>
    </row>
    <row r="193" spans="1:4" ht="14.7" hidden="1" thickBot="1" x14ac:dyDescent="0.6">
      <c r="A193" s="1" t="s">
        <v>17</v>
      </c>
      <c r="B193" t="str">
        <f>VLOOKUP(A193,'Area Breakdown'!$B$1:$C$33,2,)</f>
        <v>Heliopolis</v>
      </c>
      <c r="C193" s="2">
        <v>44295</v>
      </c>
      <c r="D193" s="3">
        <v>498.40000000000003</v>
      </c>
    </row>
    <row r="194" spans="1:4" ht="14.7" hidden="1" thickBot="1" x14ac:dyDescent="0.6">
      <c r="A194" s="1" t="s">
        <v>24</v>
      </c>
      <c r="B194" t="str">
        <f>VLOOKUP(A194,'Area Breakdown'!$B$1:$C$33,2,)</f>
        <v>October</v>
      </c>
      <c r="C194" s="2">
        <v>44295</v>
      </c>
      <c r="D194" s="3">
        <v>441.6</v>
      </c>
    </row>
    <row r="195" spans="1:4" ht="14.7" hidden="1" thickBot="1" x14ac:dyDescent="0.6">
      <c r="A195" s="1" t="s">
        <v>19</v>
      </c>
      <c r="B195" t="str">
        <f>VLOOKUP(A195,'Area Breakdown'!$B$1:$C$33,2,)</f>
        <v>Downtown</v>
      </c>
      <c r="C195" s="2">
        <v>44295</v>
      </c>
      <c r="D195" s="3">
        <v>371.20000000000005</v>
      </c>
    </row>
    <row r="196" spans="1:4" ht="14.7" hidden="1" thickBot="1" x14ac:dyDescent="0.6">
      <c r="A196" s="1" t="s">
        <v>10</v>
      </c>
      <c r="B196" t="str">
        <f>VLOOKUP(A196,'Area Breakdown'!$B$1:$C$33,2,)</f>
        <v xml:space="preserve">Alexandria </v>
      </c>
      <c r="C196" s="2">
        <v>44295</v>
      </c>
      <c r="D196" s="3">
        <v>320</v>
      </c>
    </row>
    <row r="197" spans="1:4" ht="14.7" hidden="1" thickBot="1" x14ac:dyDescent="0.6">
      <c r="A197" s="1" t="s">
        <v>13</v>
      </c>
      <c r="B197" t="str">
        <f>VLOOKUP(A197,'Area Breakdown'!$B$1:$C$33,2,)</f>
        <v>Heliopolis</v>
      </c>
      <c r="C197" s="2">
        <v>44295</v>
      </c>
      <c r="D197" s="3">
        <v>248.8</v>
      </c>
    </row>
    <row r="198" spans="1:4" ht="14.7" hidden="1" thickBot="1" x14ac:dyDescent="0.6">
      <c r="A198" s="1" t="s">
        <v>6</v>
      </c>
      <c r="B198" t="str">
        <f>VLOOKUP(A198,'Area Breakdown'!$B$1:$C$33,2,)</f>
        <v xml:space="preserve">Alexandria </v>
      </c>
      <c r="C198" s="2">
        <v>44295</v>
      </c>
      <c r="D198" s="3">
        <v>248.4</v>
      </c>
    </row>
    <row r="199" spans="1:4" ht="14.7" hidden="1" thickBot="1" x14ac:dyDescent="0.6">
      <c r="A199" s="1" t="s">
        <v>3</v>
      </c>
      <c r="B199" t="str">
        <f>VLOOKUP(A199,'Area Breakdown'!$B$1:$C$33,2,)</f>
        <v>Downtown</v>
      </c>
      <c r="C199" s="2">
        <v>44295</v>
      </c>
      <c r="D199" s="3">
        <v>234.8</v>
      </c>
    </row>
    <row r="200" spans="1:4" ht="14.7" hidden="1" thickBot="1" x14ac:dyDescent="0.6">
      <c r="A200" s="1" t="s">
        <v>23</v>
      </c>
      <c r="B200" t="str">
        <f>VLOOKUP(A200,'Area Breakdown'!$B$1:$C$33,2,)</f>
        <v>Heliopolis</v>
      </c>
      <c r="C200" s="2">
        <v>44295</v>
      </c>
      <c r="D200" s="3">
        <v>202.8</v>
      </c>
    </row>
    <row r="201" spans="1:4" ht="14.7" hidden="1" thickBot="1" x14ac:dyDescent="0.6">
      <c r="A201" s="1" t="s">
        <v>21</v>
      </c>
      <c r="B201" t="str">
        <f>VLOOKUP(A201,'Area Breakdown'!$B$1:$C$33,2,)</f>
        <v>Heliopolis</v>
      </c>
      <c r="C201" s="2">
        <v>44295</v>
      </c>
      <c r="D201" s="3">
        <v>198.8</v>
      </c>
    </row>
    <row r="202" spans="1:4" ht="14.7" hidden="1" thickBot="1" x14ac:dyDescent="0.6">
      <c r="A202" s="1" t="s">
        <v>15</v>
      </c>
      <c r="B202" t="str">
        <f>VLOOKUP(A202,'Area Breakdown'!$B$1:$C$33,2,)</f>
        <v>Heliopolis</v>
      </c>
      <c r="C202" s="2">
        <v>44295</v>
      </c>
      <c r="D202" s="3">
        <v>137.20000000000002</v>
      </c>
    </row>
    <row r="203" spans="1:4" ht="14.7" hidden="1" thickBot="1" x14ac:dyDescent="0.6">
      <c r="A203" s="1" t="s">
        <v>1</v>
      </c>
      <c r="B203" t="str">
        <f>VLOOKUP(A203,'Area Breakdown'!$B$1:$C$33,2,)</f>
        <v>Downtown</v>
      </c>
      <c r="C203" s="2">
        <v>44295</v>
      </c>
      <c r="D203" s="3">
        <v>128.80000000000001</v>
      </c>
    </row>
    <row r="204" spans="1:4" ht="14.7" hidden="1" thickBot="1" x14ac:dyDescent="0.6">
      <c r="A204" s="1" t="s">
        <v>8</v>
      </c>
      <c r="B204" t="str">
        <f>VLOOKUP(A204,'Area Breakdown'!$B$1:$C$33,2,)</f>
        <v>Heliopolis</v>
      </c>
      <c r="C204" s="2">
        <v>44295</v>
      </c>
      <c r="D204" s="3">
        <v>106</v>
      </c>
    </row>
    <row r="205" spans="1:4" ht="14.7" hidden="1" thickBot="1" x14ac:dyDescent="0.6">
      <c r="A205" s="1" t="s">
        <v>7</v>
      </c>
      <c r="B205" t="str">
        <f>VLOOKUP(A205,'Area Breakdown'!$B$1:$C$33,2,)</f>
        <v>October</v>
      </c>
      <c r="C205" s="2">
        <v>44295</v>
      </c>
      <c r="D205" s="3">
        <v>96.4</v>
      </c>
    </row>
    <row r="206" spans="1:4" ht="14.7" hidden="1" thickBot="1" x14ac:dyDescent="0.6">
      <c r="A206" s="1" t="s">
        <v>4</v>
      </c>
      <c r="B206" t="str">
        <f>VLOOKUP(A206,'Area Breakdown'!$B$1:$C$33,2,)</f>
        <v>Downtown</v>
      </c>
      <c r="C206" s="2">
        <v>44295</v>
      </c>
      <c r="D206" s="3">
        <v>29.200000000000003</v>
      </c>
    </row>
    <row r="207" spans="1:4" ht="14.7" hidden="1" thickBot="1" x14ac:dyDescent="0.6">
      <c r="A207" s="1" t="s">
        <v>11</v>
      </c>
      <c r="B207" t="str">
        <f>VLOOKUP(A207,'Area Breakdown'!$B$1:$C$33,2,)</f>
        <v>New Cairo</v>
      </c>
      <c r="C207" s="2">
        <v>44295</v>
      </c>
      <c r="D207" s="3">
        <v>14.8</v>
      </c>
    </row>
    <row r="208" spans="1:4" ht="14.7" hidden="1" thickBot="1" x14ac:dyDescent="0.6">
      <c r="A208" s="1" t="s">
        <v>12</v>
      </c>
      <c r="B208" t="str">
        <f>VLOOKUP(A208,'Area Breakdown'!$B$1:$C$33,2,)</f>
        <v>New Cairo</v>
      </c>
      <c r="C208" s="2">
        <v>44296</v>
      </c>
      <c r="D208" s="3">
        <v>802.80000000000007</v>
      </c>
    </row>
    <row r="209" spans="1:4" ht="14.7" hidden="1" thickBot="1" x14ac:dyDescent="0.6">
      <c r="A209" s="1" t="s">
        <v>25</v>
      </c>
      <c r="B209" t="str">
        <f>VLOOKUP(A209,'Area Breakdown'!$B$1:$C$33,2,)</f>
        <v>October</v>
      </c>
      <c r="C209" s="2">
        <v>44296</v>
      </c>
      <c r="D209" s="3">
        <v>608.80000000000007</v>
      </c>
    </row>
    <row r="210" spans="1:4" ht="14.7" hidden="1" thickBot="1" x14ac:dyDescent="0.6">
      <c r="A210" s="1" t="s">
        <v>9</v>
      </c>
      <c r="B210" t="str">
        <f>VLOOKUP(A210,'Area Breakdown'!$B$1:$C$33,2,)</f>
        <v xml:space="preserve">Alexandria </v>
      </c>
      <c r="C210" s="2">
        <v>44296</v>
      </c>
      <c r="D210" s="3">
        <v>590.4</v>
      </c>
    </row>
    <row r="211" spans="1:4" ht="14.7" hidden="1" thickBot="1" x14ac:dyDescent="0.6">
      <c r="A211" s="1" t="s">
        <v>20</v>
      </c>
      <c r="B211" t="str">
        <f>VLOOKUP(A211,'Area Breakdown'!$B$1:$C$33,2,)</f>
        <v>Downtown</v>
      </c>
      <c r="C211" s="2">
        <v>44296</v>
      </c>
      <c r="D211" s="3">
        <v>584.4</v>
      </c>
    </row>
    <row r="212" spans="1:4" ht="14.7" hidden="1" thickBot="1" x14ac:dyDescent="0.6">
      <c r="A212" s="1" t="s">
        <v>16</v>
      </c>
      <c r="B212" t="str">
        <f>VLOOKUP(A212,'Area Breakdown'!$B$1:$C$33,2,)</f>
        <v>Downtown</v>
      </c>
      <c r="C212" s="2">
        <v>44296</v>
      </c>
      <c r="D212" s="3">
        <v>581.6</v>
      </c>
    </row>
    <row r="213" spans="1:4" ht="14.7" hidden="1" thickBot="1" x14ac:dyDescent="0.6">
      <c r="A213" s="1" t="s">
        <v>19</v>
      </c>
      <c r="B213" t="str">
        <f>VLOOKUP(A213,'Area Breakdown'!$B$1:$C$33,2,)</f>
        <v>Downtown</v>
      </c>
      <c r="C213" s="2">
        <v>44296</v>
      </c>
      <c r="D213" s="3">
        <v>559.20000000000005</v>
      </c>
    </row>
    <row r="214" spans="1:4" ht="14.7" hidden="1" thickBot="1" x14ac:dyDescent="0.6">
      <c r="A214" s="1" t="s">
        <v>24</v>
      </c>
      <c r="B214" t="str">
        <f>VLOOKUP(A214,'Area Breakdown'!$B$1:$C$33,2,)</f>
        <v>October</v>
      </c>
      <c r="C214" s="2">
        <v>44296</v>
      </c>
      <c r="D214" s="3">
        <v>534.80000000000007</v>
      </c>
    </row>
    <row r="215" spans="1:4" ht="14.7" hidden="1" thickBot="1" x14ac:dyDescent="0.6">
      <c r="A215" s="1" t="s">
        <v>17</v>
      </c>
      <c r="B215" t="str">
        <f>VLOOKUP(A215,'Area Breakdown'!$B$1:$C$33,2,)</f>
        <v>Heliopolis</v>
      </c>
      <c r="C215" s="2">
        <v>44296</v>
      </c>
      <c r="D215" s="3">
        <v>481.20000000000005</v>
      </c>
    </row>
    <row r="216" spans="1:4" ht="14.7" hidden="1" thickBot="1" x14ac:dyDescent="0.6">
      <c r="A216" s="1" t="s">
        <v>10</v>
      </c>
      <c r="B216" t="str">
        <f>VLOOKUP(A216,'Area Breakdown'!$B$1:$C$33,2,)</f>
        <v xml:space="preserve">Alexandria </v>
      </c>
      <c r="C216" s="2">
        <v>44296</v>
      </c>
      <c r="D216" s="3">
        <v>407.6</v>
      </c>
    </row>
    <row r="217" spans="1:4" ht="14.7" hidden="1" thickBot="1" x14ac:dyDescent="0.6">
      <c r="A217" s="1" t="s">
        <v>0</v>
      </c>
      <c r="B217" t="str">
        <f>VLOOKUP(A217,'Area Breakdown'!$B$1:$C$33,2,)</f>
        <v>Downtown</v>
      </c>
      <c r="C217" s="2">
        <v>44296</v>
      </c>
      <c r="D217" s="3">
        <v>352</v>
      </c>
    </row>
    <row r="218" spans="1:4" ht="14.7" hidden="1" thickBot="1" x14ac:dyDescent="0.6">
      <c r="A218" s="1" t="s">
        <v>3</v>
      </c>
      <c r="B218" t="str">
        <f>VLOOKUP(A218,'Area Breakdown'!$B$1:$C$33,2,)</f>
        <v>Downtown</v>
      </c>
      <c r="C218" s="2">
        <v>44296</v>
      </c>
      <c r="D218" s="3">
        <v>330.8</v>
      </c>
    </row>
    <row r="219" spans="1:4" ht="14.7" hidden="1" thickBot="1" x14ac:dyDescent="0.6">
      <c r="A219" s="1" t="s">
        <v>2</v>
      </c>
      <c r="B219" t="str">
        <f>VLOOKUP(A219,'Area Breakdown'!$B$1:$C$33,2,)</f>
        <v>Downtown</v>
      </c>
      <c r="C219" s="2">
        <v>44296</v>
      </c>
      <c r="D219" s="3">
        <v>310.40000000000003</v>
      </c>
    </row>
    <row r="220" spans="1:4" ht="14.7" hidden="1" thickBot="1" x14ac:dyDescent="0.6">
      <c r="A220" s="1" t="s">
        <v>6</v>
      </c>
      <c r="B220" t="str">
        <f>VLOOKUP(A220,'Area Breakdown'!$B$1:$C$33,2,)</f>
        <v xml:space="preserve">Alexandria </v>
      </c>
      <c r="C220" s="2">
        <v>44296</v>
      </c>
      <c r="D220" s="3">
        <v>304</v>
      </c>
    </row>
    <row r="221" spans="1:4" ht="14.7" hidden="1" thickBot="1" x14ac:dyDescent="0.6">
      <c r="A221" s="1" t="s">
        <v>8</v>
      </c>
      <c r="B221" t="str">
        <f>VLOOKUP(A221,'Area Breakdown'!$B$1:$C$33,2,)</f>
        <v>Heliopolis</v>
      </c>
      <c r="C221" s="2">
        <v>44296</v>
      </c>
      <c r="D221" s="3">
        <v>281.2</v>
      </c>
    </row>
    <row r="222" spans="1:4" ht="14.7" hidden="1" thickBot="1" x14ac:dyDescent="0.6">
      <c r="A222" s="1" t="s">
        <v>1</v>
      </c>
      <c r="B222" t="str">
        <f>VLOOKUP(A222,'Area Breakdown'!$B$1:$C$33,2,)</f>
        <v>Downtown</v>
      </c>
      <c r="C222" s="2">
        <v>44296</v>
      </c>
      <c r="D222" s="3">
        <v>278</v>
      </c>
    </row>
    <row r="223" spans="1:4" ht="14.7" hidden="1" thickBot="1" x14ac:dyDescent="0.6">
      <c r="A223" s="1" t="s">
        <v>22</v>
      </c>
      <c r="B223" t="str">
        <f>VLOOKUP(A223,'Area Breakdown'!$B$1:$C$33,2,)</f>
        <v>Heliopolis</v>
      </c>
      <c r="C223" s="2">
        <v>44296</v>
      </c>
      <c r="D223" s="3">
        <v>265.60000000000002</v>
      </c>
    </row>
    <row r="224" spans="1:4" ht="14.7" hidden="1" thickBot="1" x14ac:dyDescent="0.6">
      <c r="A224" s="1" t="s">
        <v>13</v>
      </c>
      <c r="B224" t="str">
        <f>VLOOKUP(A224,'Area Breakdown'!$B$1:$C$33,2,)</f>
        <v>Heliopolis</v>
      </c>
      <c r="C224" s="2">
        <v>44296</v>
      </c>
      <c r="D224" s="3">
        <v>226</v>
      </c>
    </row>
    <row r="225" spans="1:4" ht="14.7" hidden="1" thickBot="1" x14ac:dyDescent="0.6">
      <c r="A225" s="1" t="s">
        <v>4</v>
      </c>
      <c r="B225" t="str">
        <f>VLOOKUP(A225,'Area Breakdown'!$B$1:$C$33,2,)</f>
        <v>Downtown</v>
      </c>
      <c r="C225" s="2">
        <v>44296</v>
      </c>
      <c r="D225" s="3">
        <v>206.8</v>
      </c>
    </row>
    <row r="226" spans="1:4" ht="14.7" hidden="1" thickBot="1" x14ac:dyDescent="0.6">
      <c r="A226" s="1" t="s">
        <v>23</v>
      </c>
      <c r="B226" t="str">
        <f>VLOOKUP(A226,'Area Breakdown'!$B$1:$C$33,2,)</f>
        <v>Heliopolis</v>
      </c>
      <c r="C226" s="2">
        <v>44296</v>
      </c>
      <c r="D226" s="3">
        <v>178.8</v>
      </c>
    </row>
    <row r="227" spans="1:4" ht="14.7" hidden="1" thickBot="1" x14ac:dyDescent="0.6">
      <c r="A227" s="1" t="s">
        <v>7</v>
      </c>
      <c r="B227" t="str">
        <f>VLOOKUP(A227,'Area Breakdown'!$B$1:$C$33,2,)</f>
        <v>October</v>
      </c>
      <c r="C227" s="2">
        <v>44296</v>
      </c>
      <c r="D227" s="3">
        <v>168.8</v>
      </c>
    </row>
    <row r="228" spans="1:4" ht="14.7" hidden="1" thickBot="1" x14ac:dyDescent="0.6">
      <c r="A228" s="1" t="s">
        <v>21</v>
      </c>
      <c r="B228" t="str">
        <f>VLOOKUP(A228,'Area Breakdown'!$B$1:$C$33,2,)</f>
        <v>Heliopolis</v>
      </c>
      <c r="C228" s="2">
        <v>44296</v>
      </c>
      <c r="D228" s="3">
        <v>59.6</v>
      </c>
    </row>
    <row r="229" spans="1:4" ht="14.7" hidden="1" thickBot="1" x14ac:dyDescent="0.6">
      <c r="A229" s="1" t="s">
        <v>11</v>
      </c>
      <c r="B229" t="str">
        <f>VLOOKUP(A229,'Area Breakdown'!$B$1:$C$33,2,)</f>
        <v>New Cairo</v>
      </c>
      <c r="C229" s="2">
        <v>44296</v>
      </c>
      <c r="D229" s="3">
        <v>47.2</v>
      </c>
    </row>
    <row r="230" spans="1:4" ht="14.7" hidden="1" thickBot="1" x14ac:dyDescent="0.6">
      <c r="A230" s="1" t="s">
        <v>0</v>
      </c>
      <c r="B230" t="str">
        <f>VLOOKUP(A230,'Area Breakdown'!$B$1:$C$33,2,)</f>
        <v>Downtown</v>
      </c>
      <c r="C230" s="2">
        <v>44297</v>
      </c>
      <c r="D230" s="3">
        <v>1445.2</v>
      </c>
    </row>
    <row r="231" spans="1:4" ht="14.7" hidden="1" thickBot="1" x14ac:dyDescent="0.6">
      <c r="A231" s="1" t="s">
        <v>16</v>
      </c>
      <c r="B231" t="str">
        <f>VLOOKUP(A231,'Area Breakdown'!$B$1:$C$33,2,)</f>
        <v>Downtown</v>
      </c>
      <c r="C231" s="2">
        <v>44297</v>
      </c>
      <c r="D231" s="3">
        <v>869.6</v>
      </c>
    </row>
    <row r="232" spans="1:4" ht="14.7" hidden="1" thickBot="1" x14ac:dyDescent="0.6">
      <c r="A232" s="1" t="s">
        <v>19</v>
      </c>
      <c r="B232" t="str">
        <f>VLOOKUP(A232,'Area Breakdown'!$B$1:$C$33,2,)</f>
        <v>Downtown</v>
      </c>
      <c r="C232" s="2">
        <v>44297</v>
      </c>
      <c r="D232" s="3">
        <v>783.6</v>
      </c>
    </row>
    <row r="233" spans="1:4" ht="14.7" hidden="1" thickBot="1" x14ac:dyDescent="0.6">
      <c r="A233" s="1" t="s">
        <v>22</v>
      </c>
      <c r="B233" t="str">
        <f>VLOOKUP(A233,'Area Breakdown'!$B$1:$C$33,2,)</f>
        <v>Heliopolis</v>
      </c>
      <c r="C233" s="2">
        <v>44297</v>
      </c>
      <c r="D233" s="3">
        <v>717.2</v>
      </c>
    </row>
    <row r="234" spans="1:4" ht="14.7" hidden="1" thickBot="1" x14ac:dyDescent="0.6">
      <c r="A234" s="1" t="s">
        <v>21</v>
      </c>
      <c r="B234" t="str">
        <f>VLOOKUP(A234,'Area Breakdown'!$B$1:$C$33,2,)</f>
        <v>Heliopolis</v>
      </c>
      <c r="C234" s="2">
        <v>44297</v>
      </c>
      <c r="D234" s="3">
        <v>708</v>
      </c>
    </row>
    <row r="235" spans="1:4" ht="14.7" hidden="1" thickBot="1" x14ac:dyDescent="0.6">
      <c r="A235" s="1" t="s">
        <v>25</v>
      </c>
      <c r="B235" t="str">
        <f>VLOOKUP(A235,'Area Breakdown'!$B$1:$C$33,2,)</f>
        <v>October</v>
      </c>
      <c r="C235" s="2">
        <v>44297</v>
      </c>
      <c r="D235" s="3">
        <v>699.6</v>
      </c>
    </row>
    <row r="236" spans="1:4" ht="14.7" hidden="1" thickBot="1" x14ac:dyDescent="0.6">
      <c r="A236" s="1" t="s">
        <v>2</v>
      </c>
      <c r="B236" t="str">
        <f>VLOOKUP(A236,'Area Breakdown'!$B$1:$C$33,2,)</f>
        <v>Downtown</v>
      </c>
      <c r="C236" s="2">
        <v>44297</v>
      </c>
      <c r="D236" s="3">
        <v>594.4</v>
      </c>
    </row>
    <row r="237" spans="1:4" ht="14.7" hidden="1" thickBot="1" x14ac:dyDescent="0.6">
      <c r="A237" s="1" t="s">
        <v>17</v>
      </c>
      <c r="B237" t="str">
        <f>VLOOKUP(A237,'Area Breakdown'!$B$1:$C$33,2,)</f>
        <v>Heliopolis</v>
      </c>
      <c r="C237" s="2">
        <v>44297</v>
      </c>
      <c r="D237" s="3">
        <v>564.4</v>
      </c>
    </row>
    <row r="238" spans="1:4" ht="14.7" hidden="1" thickBot="1" x14ac:dyDescent="0.6">
      <c r="A238" s="1" t="s">
        <v>20</v>
      </c>
      <c r="B238" t="str">
        <f>VLOOKUP(A238,'Area Breakdown'!$B$1:$C$33,2,)</f>
        <v>Downtown</v>
      </c>
      <c r="C238" s="2">
        <v>44297</v>
      </c>
      <c r="D238" s="3">
        <v>546.80000000000007</v>
      </c>
    </row>
    <row r="239" spans="1:4" ht="14.7" hidden="1" thickBot="1" x14ac:dyDescent="0.6">
      <c r="A239" s="1" t="s">
        <v>1</v>
      </c>
      <c r="B239" t="str">
        <f>VLOOKUP(A239,'Area Breakdown'!$B$1:$C$33,2,)</f>
        <v>Downtown</v>
      </c>
      <c r="C239" s="2">
        <v>44297</v>
      </c>
      <c r="D239" s="3">
        <v>538.4</v>
      </c>
    </row>
    <row r="240" spans="1:4" ht="14.7" hidden="1" thickBot="1" x14ac:dyDescent="0.6">
      <c r="A240" s="1" t="s">
        <v>3</v>
      </c>
      <c r="B240" t="str">
        <f>VLOOKUP(A240,'Area Breakdown'!$B$1:$C$33,2,)</f>
        <v>Downtown</v>
      </c>
      <c r="C240" s="2">
        <v>44297</v>
      </c>
      <c r="D240" s="3">
        <v>503.20000000000005</v>
      </c>
    </row>
    <row r="241" spans="1:4" ht="14.7" hidden="1" thickBot="1" x14ac:dyDescent="0.6">
      <c r="A241" s="1" t="s">
        <v>23</v>
      </c>
      <c r="B241" t="str">
        <f>VLOOKUP(A241,'Area Breakdown'!$B$1:$C$33,2,)</f>
        <v>Heliopolis</v>
      </c>
      <c r="C241" s="2">
        <v>44297</v>
      </c>
      <c r="D241" s="3">
        <v>502.8</v>
      </c>
    </row>
    <row r="242" spans="1:4" ht="14.7" hidden="1" thickBot="1" x14ac:dyDescent="0.6">
      <c r="A242" s="1" t="s">
        <v>4</v>
      </c>
      <c r="B242" t="str">
        <f>VLOOKUP(A242,'Area Breakdown'!$B$1:$C$33,2,)</f>
        <v>Downtown</v>
      </c>
      <c r="C242" s="2">
        <v>44297</v>
      </c>
      <c r="D242" s="3">
        <v>476</v>
      </c>
    </row>
    <row r="243" spans="1:4" ht="14.7" hidden="1" thickBot="1" x14ac:dyDescent="0.6">
      <c r="A243" s="1" t="s">
        <v>9</v>
      </c>
      <c r="B243" t="str">
        <f>VLOOKUP(A243,'Area Breakdown'!$B$1:$C$33,2,)</f>
        <v xml:space="preserve">Alexandria </v>
      </c>
      <c r="C243" s="2">
        <v>44297</v>
      </c>
      <c r="D243" s="3">
        <v>470.40000000000003</v>
      </c>
    </row>
    <row r="244" spans="1:4" ht="14.7" hidden="1" thickBot="1" x14ac:dyDescent="0.6">
      <c r="A244" s="1" t="s">
        <v>6</v>
      </c>
      <c r="B244" t="str">
        <f>VLOOKUP(A244,'Area Breakdown'!$B$1:$C$33,2,)</f>
        <v xml:space="preserve">Alexandria </v>
      </c>
      <c r="C244" s="2">
        <v>44297</v>
      </c>
      <c r="D244" s="3">
        <v>466</v>
      </c>
    </row>
    <row r="245" spans="1:4" ht="14.7" hidden="1" thickBot="1" x14ac:dyDescent="0.6">
      <c r="A245" s="1" t="s">
        <v>13</v>
      </c>
      <c r="B245" t="str">
        <f>VLOOKUP(A245,'Area Breakdown'!$B$1:$C$33,2,)</f>
        <v>Heliopolis</v>
      </c>
      <c r="C245" s="2">
        <v>44297</v>
      </c>
      <c r="D245" s="3">
        <v>413.6</v>
      </c>
    </row>
    <row r="246" spans="1:4" ht="14.7" hidden="1" thickBot="1" x14ac:dyDescent="0.6">
      <c r="A246" s="1" t="s">
        <v>24</v>
      </c>
      <c r="B246" t="str">
        <f>VLOOKUP(A246,'Area Breakdown'!$B$1:$C$33,2,)</f>
        <v>October</v>
      </c>
      <c r="C246" s="2">
        <v>44297</v>
      </c>
      <c r="D246" s="3">
        <v>405.6</v>
      </c>
    </row>
    <row r="247" spans="1:4" ht="14.7" hidden="1" thickBot="1" x14ac:dyDescent="0.6">
      <c r="A247" s="1" t="s">
        <v>8</v>
      </c>
      <c r="B247" t="str">
        <f>VLOOKUP(A247,'Area Breakdown'!$B$1:$C$33,2,)</f>
        <v>Heliopolis</v>
      </c>
      <c r="C247" s="2">
        <v>44297</v>
      </c>
      <c r="D247" s="3">
        <v>320.8</v>
      </c>
    </row>
    <row r="248" spans="1:4" ht="14.7" hidden="1" thickBot="1" x14ac:dyDescent="0.6">
      <c r="A248" s="1" t="s">
        <v>11</v>
      </c>
      <c r="B248" t="str">
        <f>VLOOKUP(A248,'Area Breakdown'!$B$1:$C$33,2,)</f>
        <v>New Cairo</v>
      </c>
      <c r="C248" s="2">
        <v>44297</v>
      </c>
      <c r="D248" s="3">
        <v>248</v>
      </c>
    </row>
    <row r="249" spans="1:4" ht="14.7" hidden="1" thickBot="1" x14ac:dyDescent="0.6">
      <c r="A249" s="1" t="s">
        <v>10</v>
      </c>
      <c r="B249" t="str">
        <f>VLOOKUP(A249,'Area Breakdown'!$B$1:$C$33,2,)</f>
        <v xml:space="preserve">Alexandria </v>
      </c>
      <c r="C249" s="2">
        <v>44297</v>
      </c>
      <c r="D249" s="3">
        <v>135.6</v>
      </c>
    </row>
    <row r="250" spans="1:4" ht="14.7" hidden="1" thickBot="1" x14ac:dyDescent="0.6">
      <c r="A250" s="1" t="s">
        <v>7</v>
      </c>
      <c r="B250" t="str">
        <f>VLOOKUP(A250,'Area Breakdown'!$B$1:$C$33,2,)</f>
        <v>October</v>
      </c>
      <c r="C250" s="2">
        <v>44297</v>
      </c>
      <c r="D250" s="3">
        <v>74</v>
      </c>
    </row>
    <row r="251" spans="1:4" ht="14.7" hidden="1" thickBot="1" x14ac:dyDescent="0.6">
      <c r="A251" s="1" t="s">
        <v>15</v>
      </c>
      <c r="B251" t="str">
        <f>VLOOKUP(A251,'Area Breakdown'!$B$1:$C$33,2,)</f>
        <v>Heliopolis</v>
      </c>
      <c r="C251" s="2">
        <v>44297</v>
      </c>
      <c r="D251" s="3">
        <v>32.800000000000004</v>
      </c>
    </row>
    <row r="252" spans="1:4" ht="14.7" hidden="1" thickBot="1" x14ac:dyDescent="0.6">
      <c r="A252" s="1" t="s">
        <v>12</v>
      </c>
      <c r="B252" t="str">
        <f>VLOOKUP(A252,'Area Breakdown'!$B$1:$C$33,2,)</f>
        <v>New Cairo</v>
      </c>
      <c r="C252" s="2">
        <v>44297</v>
      </c>
      <c r="D252" s="3">
        <v>1791.6000000000001</v>
      </c>
    </row>
    <row r="253" spans="1:4" ht="14.7" hidden="1" thickBot="1" x14ac:dyDescent="0.6">
      <c r="A253" s="1" t="s">
        <v>12</v>
      </c>
      <c r="B253" t="str">
        <f>VLOOKUP(A253,'Area Breakdown'!$B$1:$C$33,2,)</f>
        <v>New Cairo</v>
      </c>
      <c r="C253" s="2">
        <v>44298</v>
      </c>
      <c r="D253" s="3">
        <v>1535.6000000000001</v>
      </c>
    </row>
    <row r="254" spans="1:4" ht="14.7" hidden="1" thickBot="1" x14ac:dyDescent="0.6">
      <c r="A254" s="1" t="s">
        <v>0</v>
      </c>
      <c r="B254" t="str">
        <f>VLOOKUP(A254,'Area Breakdown'!$B$1:$C$33,2,)</f>
        <v>Downtown</v>
      </c>
      <c r="C254" s="2">
        <v>44298</v>
      </c>
      <c r="D254" s="3">
        <v>1186.8</v>
      </c>
    </row>
    <row r="255" spans="1:4" ht="14.7" hidden="1" thickBot="1" x14ac:dyDescent="0.6">
      <c r="A255" s="1" t="s">
        <v>21</v>
      </c>
      <c r="B255" t="str">
        <f>VLOOKUP(A255,'Area Breakdown'!$B$1:$C$33,2,)</f>
        <v>Heliopolis</v>
      </c>
      <c r="C255" s="2">
        <v>44298</v>
      </c>
      <c r="D255" s="3">
        <v>1003.6</v>
      </c>
    </row>
    <row r="256" spans="1:4" ht="14.7" hidden="1" thickBot="1" x14ac:dyDescent="0.6">
      <c r="A256" s="1" t="s">
        <v>22</v>
      </c>
      <c r="B256" t="str">
        <f>VLOOKUP(A256,'Area Breakdown'!$B$1:$C$33,2,)</f>
        <v>Heliopolis</v>
      </c>
      <c r="C256" s="2">
        <v>44298</v>
      </c>
      <c r="D256" s="3">
        <v>819.6</v>
      </c>
    </row>
    <row r="257" spans="1:4" ht="14.7" hidden="1" thickBot="1" x14ac:dyDescent="0.6">
      <c r="A257" s="1" t="s">
        <v>20</v>
      </c>
      <c r="B257" t="str">
        <f>VLOOKUP(A257,'Area Breakdown'!$B$1:$C$33,2,)</f>
        <v>Downtown</v>
      </c>
      <c r="C257" s="2">
        <v>44298</v>
      </c>
      <c r="D257" s="3">
        <v>797.6</v>
      </c>
    </row>
    <row r="258" spans="1:4" ht="14.7" hidden="1" thickBot="1" x14ac:dyDescent="0.6">
      <c r="A258" s="1" t="s">
        <v>4</v>
      </c>
      <c r="B258" t="str">
        <f>VLOOKUP(A258,'Area Breakdown'!$B$1:$C$33,2,)</f>
        <v>Downtown</v>
      </c>
      <c r="C258" s="2">
        <v>44298</v>
      </c>
      <c r="D258" s="3">
        <v>755.6</v>
      </c>
    </row>
    <row r="259" spans="1:4" ht="14.7" hidden="1" thickBot="1" x14ac:dyDescent="0.6">
      <c r="A259" s="1" t="s">
        <v>2</v>
      </c>
      <c r="B259" t="str">
        <f>VLOOKUP(A259,'Area Breakdown'!$B$1:$C$33,2,)</f>
        <v>Downtown</v>
      </c>
      <c r="C259" s="2">
        <v>44298</v>
      </c>
      <c r="D259" s="3">
        <v>747.6</v>
      </c>
    </row>
    <row r="260" spans="1:4" ht="14.7" hidden="1" thickBot="1" x14ac:dyDescent="0.6">
      <c r="A260" s="1" t="s">
        <v>16</v>
      </c>
      <c r="B260" t="str">
        <f>VLOOKUP(A260,'Area Breakdown'!$B$1:$C$33,2,)</f>
        <v>Downtown</v>
      </c>
      <c r="C260" s="2">
        <v>44298</v>
      </c>
      <c r="D260" s="3">
        <v>721.6</v>
      </c>
    </row>
    <row r="261" spans="1:4" ht="14.7" hidden="1" thickBot="1" x14ac:dyDescent="0.6">
      <c r="A261" s="1" t="s">
        <v>25</v>
      </c>
      <c r="B261" t="str">
        <f>VLOOKUP(A261,'Area Breakdown'!$B$1:$C$33,2,)</f>
        <v>October</v>
      </c>
      <c r="C261" s="2">
        <v>44298</v>
      </c>
      <c r="D261" s="3">
        <v>626</v>
      </c>
    </row>
    <row r="262" spans="1:4" ht="14.7" hidden="1" thickBot="1" x14ac:dyDescent="0.6">
      <c r="A262" s="1" t="s">
        <v>9</v>
      </c>
      <c r="B262" t="str">
        <f>VLOOKUP(A262,'Area Breakdown'!$B$1:$C$33,2,)</f>
        <v xml:space="preserve">Alexandria </v>
      </c>
      <c r="C262" s="2">
        <v>44298</v>
      </c>
      <c r="D262" s="3">
        <v>622</v>
      </c>
    </row>
    <row r="263" spans="1:4" ht="14.7" hidden="1" thickBot="1" x14ac:dyDescent="0.6">
      <c r="A263" s="1" t="s">
        <v>19</v>
      </c>
      <c r="B263" t="str">
        <f>VLOOKUP(A263,'Area Breakdown'!$B$1:$C$33,2,)</f>
        <v>Downtown</v>
      </c>
      <c r="C263" s="2">
        <v>44298</v>
      </c>
      <c r="D263" s="3">
        <v>618</v>
      </c>
    </row>
    <row r="264" spans="1:4" ht="14.7" hidden="1" thickBot="1" x14ac:dyDescent="0.6">
      <c r="A264" s="1" t="s">
        <v>17</v>
      </c>
      <c r="B264" t="str">
        <f>VLOOKUP(A264,'Area Breakdown'!$B$1:$C$33,2,)</f>
        <v>Heliopolis</v>
      </c>
      <c r="C264" s="2">
        <v>44298</v>
      </c>
      <c r="D264" s="3">
        <v>513.20000000000005</v>
      </c>
    </row>
    <row r="265" spans="1:4" ht="14.7" hidden="1" thickBot="1" x14ac:dyDescent="0.6">
      <c r="A265" s="1" t="s">
        <v>1</v>
      </c>
      <c r="B265" t="str">
        <f>VLOOKUP(A265,'Area Breakdown'!$B$1:$C$33,2,)</f>
        <v>Downtown</v>
      </c>
      <c r="C265" s="2">
        <v>44298</v>
      </c>
      <c r="D265" s="3">
        <v>432</v>
      </c>
    </row>
    <row r="266" spans="1:4" ht="14.7" hidden="1" thickBot="1" x14ac:dyDescent="0.6">
      <c r="A266" s="1" t="s">
        <v>8</v>
      </c>
      <c r="B266" t="str">
        <f>VLOOKUP(A266,'Area Breakdown'!$B$1:$C$33,2,)</f>
        <v>Heliopolis</v>
      </c>
      <c r="C266" s="2">
        <v>44298</v>
      </c>
      <c r="D266" s="3">
        <v>430</v>
      </c>
    </row>
    <row r="267" spans="1:4" ht="14.7" hidden="1" thickBot="1" x14ac:dyDescent="0.6">
      <c r="A267" s="1" t="s">
        <v>3</v>
      </c>
      <c r="B267" t="str">
        <f>VLOOKUP(A267,'Area Breakdown'!$B$1:$C$33,2,)</f>
        <v>Downtown</v>
      </c>
      <c r="C267" s="2">
        <v>44298</v>
      </c>
      <c r="D267" s="3">
        <v>334.8</v>
      </c>
    </row>
    <row r="268" spans="1:4" ht="14.7" hidden="1" thickBot="1" x14ac:dyDescent="0.6">
      <c r="A268" s="1" t="s">
        <v>10</v>
      </c>
      <c r="B268" t="str">
        <f>VLOOKUP(A268,'Area Breakdown'!$B$1:$C$33,2,)</f>
        <v xml:space="preserve">Alexandria </v>
      </c>
      <c r="C268" s="2">
        <v>44298</v>
      </c>
      <c r="D268" s="3">
        <v>334</v>
      </c>
    </row>
    <row r="269" spans="1:4" ht="14.7" hidden="1" thickBot="1" x14ac:dyDescent="0.6">
      <c r="A269" s="1" t="s">
        <v>23</v>
      </c>
      <c r="B269" t="str">
        <f>VLOOKUP(A269,'Area Breakdown'!$B$1:$C$33,2,)</f>
        <v>Heliopolis</v>
      </c>
      <c r="C269" s="2">
        <v>44298</v>
      </c>
      <c r="D269" s="3">
        <v>331.20000000000005</v>
      </c>
    </row>
    <row r="270" spans="1:4" ht="14.7" hidden="1" thickBot="1" x14ac:dyDescent="0.6">
      <c r="A270" s="1" t="s">
        <v>13</v>
      </c>
      <c r="B270" t="str">
        <f>VLOOKUP(A270,'Area Breakdown'!$B$1:$C$33,2,)</f>
        <v>Heliopolis</v>
      </c>
      <c r="C270" s="2">
        <v>44298</v>
      </c>
      <c r="D270" s="3">
        <v>264.40000000000003</v>
      </c>
    </row>
    <row r="271" spans="1:4" ht="14.7" hidden="1" thickBot="1" x14ac:dyDescent="0.6">
      <c r="A271" s="1" t="s">
        <v>6</v>
      </c>
      <c r="B271" t="str">
        <f>VLOOKUP(A271,'Area Breakdown'!$B$1:$C$33,2,)</f>
        <v xml:space="preserve">Alexandria </v>
      </c>
      <c r="C271" s="2">
        <v>44298</v>
      </c>
      <c r="D271" s="3">
        <v>239.20000000000002</v>
      </c>
    </row>
    <row r="272" spans="1:4" ht="14.7" hidden="1" thickBot="1" x14ac:dyDescent="0.6">
      <c r="A272" s="1" t="s">
        <v>24</v>
      </c>
      <c r="B272" t="str">
        <f>VLOOKUP(A272,'Area Breakdown'!$B$1:$C$33,2,)</f>
        <v>October</v>
      </c>
      <c r="C272" s="2">
        <v>44298</v>
      </c>
      <c r="D272" s="3">
        <v>234.8</v>
      </c>
    </row>
    <row r="273" spans="1:4" ht="14.7" hidden="1" thickBot="1" x14ac:dyDescent="0.6">
      <c r="A273" s="1" t="s">
        <v>11</v>
      </c>
      <c r="B273" t="str">
        <f>VLOOKUP(A273,'Area Breakdown'!$B$1:$C$33,2,)</f>
        <v>New Cairo</v>
      </c>
      <c r="C273" s="2">
        <v>44298</v>
      </c>
      <c r="D273" s="3">
        <v>176</v>
      </c>
    </row>
    <row r="274" spans="1:4" ht="14.7" hidden="1" thickBot="1" x14ac:dyDescent="0.6">
      <c r="A274" s="1" t="s">
        <v>7</v>
      </c>
      <c r="B274" t="str">
        <f>VLOOKUP(A274,'Area Breakdown'!$B$1:$C$33,2,)</f>
        <v>October</v>
      </c>
      <c r="C274" s="2">
        <v>44298</v>
      </c>
      <c r="D274" s="3">
        <v>52.800000000000004</v>
      </c>
    </row>
    <row r="275" spans="1:4" ht="14.7" hidden="1" thickBot="1" x14ac:dyDescent="0.6">
      <c r="A275" s="1" t="s">
        <v>15</v>
      </c>
      <c r="B275" t="str">
        <f>VLOOKUP(A275,'Area Breakdown'!$B$1:$C$33,2,)</f>
        <v>Heliopolis</v>
      </c>
      <c r="C275" s="2">
        <v>44298</v>
      </c>
      <c r="D275" s="3">
        <v>8.8000000000000007</v>
      </c>
    </row>
    <row r="276" spans="1:4" ht="14.7" hidden="1" thickBot="1" x14ac:dyDescent="0.6">
      <c r="A276" s="1" t="s">
        <v>2</v>
      </c>
      <c r="B276" t="str">
        <f>VLOOKUP(A276,'Area Breakdown'!$B$1:$C$33,2,)</f>
        <v>Downtown</v>
      </c>
      <c r="C276" s="2">
        <v>44299</v>
      </c>
      <c r="D276" s="3">
        <v>494.8</v>
      </c>
    </row>
    <row r="277" spans="1:4" ht="14.7" hidden="1" thickBot="1" x14ac:dyDescent="0.6">
      <c r="A277" s="1" t="s">
        <v>22</v>
      </c>
      <c r="B277" t="str">
        <f>VLOOKUP(A277,'Area Breakdown'!$B$1:$C$33,2,)</f>
        <v>Heliopolis</v>
      </c>
      <c r="C277" s="2">
        <v>44299</v>
      </c>
      <c r="D277" s="3">
        <v>420</v>
      </c>
    </row>
    <row r="278" spans="1:4" ht="14.7" hidden="1" thickBot="1" x14ac:dyDescent="0.6">
      <c r="A278" s="1" t="s">
        <v>12</v>
      </c>
      <c r="B278" t="str">
        <f>VLOOKUP(A278,'Area Breakdown'!$B$1:$C$33,2,)</f>
        <v>New Cairo</v>
      </c>
      <c r="C278" s="2">
        <v>44299</v>
      </c>
      <c r="D278" s="3">
        <v>419.6</v>
      </c>
    </row>
    <row r="279" spans="1:4" ht="14.7" hidden="1" thickBot="1" x14ac:dyDescent="0.6">
      <c r="A279" s="1" t="s">
        <v>25</v>
      </c>
      <c r="B279" t="str">
        <f>VLOOKUP(A279,'Area Breakdown'!$B$1:$C$33,2,)</f>
        <v>October</v>
      </c>
      <c r="C279" s="2">
        <v>44299</v>
      </c>
      <c r="D279" s="3">
        <v>301.2</v>
      </c>
    </row>
    <row r="280" spans="1:4" ht="14.7" hidden="1" thickBot="1" x14ac:dyDescent="0.6">
      <c r="A280" s="1" t="s">
        <v>0</v>
      </c>
      <c r="B280" t="str">
        <f>VLOOKUP(A280,'Area Breakdown'!$B$1:$C$33,2,)</f>
        <v>Downtown</v>
      </c>
      <c r="C280" s="2">
        <v>44299</v>
      </c>
      <c r="D280" s="3">
        <v>292.40000000000003</v>
      </c>
    </row>
    <row r="281" spans="1:4" ht="14.7" hidden="1" thickBot="1" x14ac:dyDescent="0.6">
      <c r="A281" s="1" t="s">
        <v>17</v>
      </c>
      <c r="B281" t="str">
        <f>VLOOKUP(A281,'Area Breakdown'!$B$1:$C$33,2,)</f>
        <v>Heliopolis</v>
      </c>
      <c r="C281" s="2">
        <v>44299</v>
      </c>
      <c r="D281" s="3">
        <v>279.2</v>
      </c>
    </row>
    <row r="282" spans="1:4" ht="14.7" hidden="1" thickBot="1" x14ac:dyDescent="0.6">
      <c r="A282" s="1" t="s">
        <v>16</v>
      </c>
      <c r="B282" t="str">
        <f>VLOOKUP(A282,'Area Breakdown'!$B$1:$C$33,2,)</f>
        <v>Downtown</v>
      </c>
      <c r="C282" s="2">
        <v>44299</v>
      </c>
      <c r="D282" s="3">
        <v>278.40000000000003</v>
      </c>
    </row>
    <row r="283" spans="1:4" ht="14.7" hidden="1" thickBot="1" x14ac:dyDescent="0.6">
      <c r="A283" s="1" t="s">
        <v>19</v>
      </c>
      <c r="B283" t="str">
        <f>VLOOKUP(A283,'Area Breakdown'!$B$1:$C$33,2,)</f>
        <v>Downtown</v>
      </c>
      <c r="C283" s="2">
        <v>44299</v>
      </c>
      <c r="D283" s="3">
        <v>220</v>
      </c>
    </row>
    <row r="284" spans="1:4" ht="14.7" hidden="1" thickBot="1" x14ac:dyDescent="0.6">
      <c r="A284" s="1" t="s">
        <v>9</v>
      </c>
      <c r="B284" t="str">
        <f>VLOOKUP(A284,'Area Breakdown'!$B$1:$C$33,2,)</f>
        <v xml:space="preserve">Alexandria </v>
      </c>
      <c r="C284" s="2">
        <v>44299</v>
      </c>
      <c r="D284" s="3">
        <v>210</v>
      </c>
    </row>
    <row r="285" spans="1:4" ht="14.7" hidden="1" thickBot="1" x14ac:dyDescent="0.6">
      <c r="A285" s="1" t="s">
        <v>6</v>
      </c>
      <c r="B285" t="str">
        <f>VLOOKUP(A285,'Area Breakdown'!$B$1:$C$33,2,)</f>
        <v xml:space="preserve">Alexandria </v>
      </c>
      <c r="C285" s="2">
        <v>44299</v>
      </c>
      <c r="D285" s="3">
        <v>179.20000000000002</v>
      </c>
    </row>
    <row r="286" spans="1:4" ht="14.7" hidden="1" thickBot="1" x14ac:dyDescent="0.6">
      <c r="A286" s="1" t="s">
        <v>3</v>
      </c>
      <c r="B286" t="str">
        <f>VLOOKUP(A286,'Area Breakdown'!$B$1:$C$33,2,)</f>
        <v>Downtown</v>
      </c>
      <c r="C286" s="2">
        <v>44299</v>
      </c>
      <c r="D286" s="3">
        <v>138.80000000000001</v>
      </c>
    </row>
    <row r="287" spans="1:4" ht="14.7" hidden="1" thickBot="1" x14ac:dyDescent="0.6">
      <c r="A287" s="1" t="s">
        <v>13</v>
      </c>
      <c r="B287" t="str">
        <f>VLOOKUP(A287,'Area Breakdown'!$B$1:$C$33,2,)</f>
        <v>Heliopolis</v>
      </c>
      <c r="C287" s="2">
        <v>44299</v>
      </c>
      <c r="D287" s="3">
        <v>130.4</v>
      </c>
    </row>
    <row r="288" spans="1:4" ht="14.7" hidden="1" thickBot="1" x14ac:dyDescent="0.6">
      <c r="A288" s="1" t="s">
        <v>23</v>
      </c>
      <c r="B288" t="str">
        <f>VLOOKUP(A288,'Area Breakdown'!$B$1:$C$33,2,)</f>
        <v>Heliopolis</v>
      </c>
      <c r="C288" s="2">
        <v>44299</v>
      </c>
      <c r="D288" s="3">
        <v>122.4</v>
      </c>
    </row>
    <row r="289" spans="1:4" ht="14.7" hidden="1" thickBot="1" x14ac:dyDescent="0.6">
      <c r="A289" s="1" t="s">
        <v>4</v>
      </c>
      <c r="B289" t="str">
        <f>VLOOKUP(A289,'Area Breakdown'!$B$1:$C$33,2,)</f>
        <v>Downtown</v>
      </c>
      <c r="C289" s="2">
        <v>44299</v>
      </c>
      <c r="D289" s="3">
        <v>108.4</v>
      </c>
    </row>
    <row r="290" spans="1:4" ht="14.7" hidden="1" thickBot="1" x14ac:dyDescent="0.6">
      <c r="A290" s="1" t="s">
        <v>10</v>
      </c>
      <c r="B290" t="str">
        <f>VLOOKUP(A290,'Area Breakdown'!$B$1:$C$33,2,)</f>
        <v xml:space="preserve">Alexandria </v>
      </c>
      <c r="C290" s="2">
        <v>44299</v>
      </c>
      <c r="D290" s="3">
        <v>107.60000000000001</v>
      </c>
    </row>
    <row r="291" spans="1:4" ht="14.7" hidden="1" thickBot="1" x14ac:dyDescent="0.6">
      <c r="A291" s="1" t="s">
        <v>20</v>
      </c>
      <c r="B291" t="str">
        <f>VLOOKUP(A291,'Area Breakdown'!$B$1:$C$33,2,)</f>
        <v>Downtown</v>
      </c>
      <c r="C291" s="2">
        <v>44299</v>
      </c>
      <c r="D291" s="3">
        <v>103.2</v>
      </c>
    </row>
    <row r="292" spans="1:4" ht="14.7" hidden="1" thickBot="1" x14ac:dyDescent="0.6">
      <c r="A292" s="1" t="s">
        <v>8</v>
      </c>
      <c r="B292" t="str">
        <f>VLOOKUP(A292,'Area Breakdown'!$B$1:$C$33,2,)</f>
        <v>Heliopolis</v>
      </c>
      <c r="C292" s="2">
        <v>44299</v>
      </c>
      <c r="D292" s="3">
        <v>44.400000000000006</v>
      </c>
    </row>
    <row r="293" spans="1:4" ht="14.7" hidden="1" thickBot="1" x14ac:dyDescent="0.6">
      <c r="A293" s="1" t="s">
        <v>24</v>
      </c>
      <c r="B293" t="str">
        <f>VLOOKUP(A293,'Area Breakdown'!$B$1:$C$33,2,)</f>
        <v>October</v>
      </c>
      <c r="C293" s="2">
        <v>44299</v>
      </c>
      <c r="D293" s="3">
        <v>28.8</v>
      </c>
    </row>
    <row r="294" spans="1:4" ht="14.7" hidden="1" thickBot="1" x14ac:dyDescent="0.6">
      <c r="A294" s="1" t="s">
        <v>1</v>
      </c>
      <c r="B294" t="str">
        <f>VLOOKUP(A294,'Area Breakdown'!$B$1:$C$33,2,)</f>
        <v>Downtown</v>
      </c>
      <c r="C294" s="2">
        <v>44299</v>
      </c>
      <c r="D294" s="3">
        <v>26.8</v>
      </c>
    </row>
    <row r="295" spans="1:4" ht="14.7" hidden="1" thickBot="1" x14ac:dyDescent="0.6">
      <c r="A295" s="1" t="s">
        <v>7</v>
      </c>
      <c r="B295" t="str">
        <f>VLOOKUP(A295,'Area Breakdown'!$B$1:$C$33,2,)</f>
        <v>October</v>
      </c>
      <c r="C295" s="2">
        <v>44299</v>
      </c>
      <c r="D295" s="3">
        <v>20</v>
      </c>
    </row>
    <row r="296" spans="1:4" ht="14.7" hidden="1" thickBot="1" x14ac:dyDescent="0.6">
      <c r="A296" s="1" t="s">
        <v>19</v>
      </c>
      <c r="B296" t="str">
        <f>VLOOKUP(A296,'Area Breakdown'!$B$1:$C$33,2,)</f>
        <v>Downtown</v>
      </c>
      <c r="C296" s="2">
        <v>44300</v>
      </c>
      <c r="D296" s="3">
        <v>536.80000000000007</v>
      </c>
    </row>
    <row r="297" spans="1:4" ht="14.7" hidden="1" thickBot="1" x14ac:dyDescent="0.6">
      <c r="A297" s="1" t="s">
        <v>12</v>
      </c>
      <c r="B297" t="str">
        <f>VLOOKUP(A297,'Area Breakdown'!$B$1:$C$33,2,)</f>
        <v>New Cairo</v>
      </c>
      <c r="C297" s="2">
        <v>44300</v>
      </c>
      <c r="D297" s="3">
        <v>403.20000000000005</v>
      </c>
    </row>
    <row r="298" spans="1:4" ht="14.7" hidden="1" thickBot="1" x14ac:dyDescent="0.6">
      <c r="A298" s="1" t="s">
        <v>6</v>
      </c>
      <c r="B298" t="str">
        <f>VLOOKUP(A298,'Area Breakdown'!$B$1:$C$33,2,)</f>
        <v xml:space="preserve">Alexandria </v>
      </c>
      <c r="C298" s="2">
        <v>44300</v>
      </c>
      <c r="D298" s="3">
        <v>374.8</v>
      </c>
    </row>
    <row r="299" spans="1:4" ht="14.7" hidden="1" thickBot="1" x14ac:dyDescent="0.6">
      <c r="A299" s="1" t="s">
        <v>0</v>
      </c>
      <c r="B299" t="str">
        <f>VLOOKUP(A299,'Area Breakdown'!$B$1:$C$33,2,)</f>
        <v>Downtown</v>
      </c>
      <c r="C299" s="2">
        <v>44300</v>
      </c>
      <c r="D299" s="3">
        <v>331.20000000000005</v>
      </c>
    </row>
    <row r="300" spans="1:4" ht="14.7" hidden="1" thickBot="1" x14ac:dyDescent="0.6">
      <c r="A300" s="1" t="s">
        <v>22</v>
      </c>
      <c r="B300" t="str">
        <f>VLOOKUP(A300,'Area Breakdown'!$B$1:$C$33,2,)</f>
        <v>Heliopolis</v>
      </c>
      <c r="C300" s="2">
        <v>44300</v>
      </c>
      <c r="D300" s="3">
        <v>314</v>
      </c>
    </row>
    <row r="301" spans="1:4" ht="14.7" hidden="1" thickBot="1" x14ac:dyDescent="0.6">
      <c r="A301" s="1" t="s">
        <v>16</v>
      </c>
      <c r="B301" t="str">
        <f>VLOOKUP(A301,'Area Breakdown'!$B$1:$C$33,2,)</f>
        <v>Downtown</v>
      </c>
      <c r="C301" s="2">
        <v>44300</v>
      </c>
      <c r="D301" s="3">
        <v>301.2</v>
      </c>
    </row>
    <row r="302" spans="1:4" ht="14.7" hidden="1" thickBot="1" x14ac:dyDescent="0.6">
      <c r="A302" s="1" t="s">
        <v>2</v>
      </c>
      <c r="B302" t="str">
        <f>VLOOKUP(A302,'Area Breakdown'!$B$1:$C$33,2,)</f>
        <v>Downtown</v>
      </c>
      <c r="C302" s="2">
        <v>44300</v>
      </c>
      <c r="D302" s="3">
        <v>292.40000000000003</v>
      </c>
    </row>
    <row r="303" spans="1:4" ht="14.7" hidden="1" thickBot="1" x14ac:dyDescent="0.6">
      <c r="A303" s="1" t="s">
        <v>17</v>
      </c>
      <c r="B303" t="str">
        <f>VLOOKUP(A303,'Area Breakdown'!$B$1:$C$33,2,)</f>
        <v>Heliopolis</v>
      </c>
      <c r="C303" s="2">
        <v>44300</v>
      </c>
      <c r="D303" s="3">
        <v>264</v>
      </c>
    </row>
    <row r="304" spans="1:4" ht="14.7" hidden="1" thickBot="1" x14ac:dyDescent="0.6">
      <c r="A304" s="1" t="s">
        <v>1</v>
      </c>
      <c r="B304" t="str">
        <f>VLOOKUP(A304,'Area Breakdown'!$B$1:$C$33,2,)</f>
        <v>Downtown</v>
      </c>
      <c r="C304" s="2">
        <v>44300</v>
      </c>
      <c r="D304" s="3">
        <v>251.20000000000002</v>
      </c>
    </row>
    <row r="305" spans="1:4" ht="14.7" hidden="1" thickBot="1" x14ac:dyDescent="0.6">
      <c r="A305" s="1" t="s">
        <v>25</v>
      </c>
      <c r="B305" t="str">
        <f>VLOOKUP(A305,'Area Breakdown'!$B$1:$C$33,2,)</f>
        <v>October</v>
      </c>
      <c r="C305" s="2">
        <v>44300</v>
      </c>
      <c r="D305" s="3">
        <v>232.4</v>
      </c>
    </row>
    <row r="306" spans="1:4" ht="14.7" hidden="1" thickBot="1" x14ac:dyDescent="0.6">
      <c r="A306" s="1" t="s">
        <v>9</v>
      </c>
      <c r="B306" t="str">
        <f>VLOOKUP(A306,'Area Breakdown'!$B$1:$C$33,2,)</f>
        <v xml:space="preserve">Alexandria </v>
      </c>
      <c r="C306" s="2">
        <v>44300</v>
      </c>
      <c r="D306" s="3">
        <v>203.20000000000002</v>
      </c>
    </row>
    <row r="307" spans="1:4" ht="14.7" hidden="1" thickBot="1" x14ac:dyDescent="0.6">
      <c r="A307" s="1" t="s">
        <v>3</v>
      </c>
      <c r="B307" t="str">
        <f>VLOOKUP(A307,'Area Breakdown'!$B$1:$C$33,2,)</f>
        <v>Downtown</v>
      </c>
      <c r="C307" s="2">
        <v>44300</v>
      </c>
      <c r="D307" s="3">
        <v>194</v>
      </c>
    </row>
    <row r="308" spans="1:4" ht="14.7" hidden="1" thickBot="1" x14ac:dyDescent="0.6">
      <c r="A308" s="1" t="s">
        <v>8</v>
      </c>
      <c r="B308" t="str">
        <f>VLOOKUP(A308,'Area Breakdown'!$B$1:$C$33,2,)</f>
        <v>Heliopolis</v>
      </c>
      <c r="C308" s="2">
        <v>44300</v>
      </c>
      <c r="D308" s="3">
        <v>84.800000000000011</v>
      </c>
    </row>
    <row r="309" spans="1:4" ht="14.7" hidden="1" thickBot="1" x14ac:dyDescent="0.6">
      <c r="A309" s="1" t="s">
        <v>13</v>
      </c>
      <c r="B309" t="str">
        <f>VLOOKUP(A309,'Area Breakdown'!$B$1:$C$33,2,)</f>
        <v>Heliopolis</v>
      </c>
      <c r="C309" s="2">
        <v>44300</v>
      </c>
      <c r="D309" s="3">
        <v>73.2</v>
      </c>
    </row>
    <row r="310" spans="1:4" ht="14.7" hidden="1" thickBot="1" x14ac:dyDescent="0.6">
      <c r="A310" s="1" t="s">
        <v>24</v>
      </c>
      <c r="B310" t="str">
        <f>VLOOKUP(A310,'Area Breakdown'!$B$1:$C$33,2,)</f>
        <v>October</v>
      </c>
      <c r="C310" s="2">
        <v>44300</v>
      </c>
      <c r="D310" s="3">
        <v>56</v>
      </c>
    </row>
    <row r="311" spans="1:4" ht="14.7" hidden="1" thickBot="1" x14ac:dyDescent="0.6">
      <c r="A311" s="1" t="s">
        <v>21</v>
      </c>
      <c r="B311" t="str">
        <f>VLOOKUP(A311,'Area Breakdown'!$B$1:$C$33,2,)</f>
        <v>Heliopolis</v>
      </c>
      <c r="C311" s="2">
        <v>44300</v>
      </c>
      <c r="D311" s="3">
        <v>54</v>
      </c>
    </row>
    <row r="312" spans="1:4" ht="14.7" hidden="1" thickBot="1" x14ac:dyDescent="0.6">
      <c r="A312" s="1" t="s">
        <v>4</v>
      </c>
      <c r="B312" t="str">
        <f>VLOOKUP(A312,'Area Breakdown'!$B$1:$C$33,2,)</f>
        <v>Downtown</v>
      </c>
      <c r="C312" s="2">
        <v>44300</v>
      </c>
      <c r="D312" s="3">
        <v>53.6</v>
      </c>
    </row>
    <row r="313" spans="1:4" ht="14.7" hidden="1" thickBot="1" x14ac:dyDescent="0.6">
      <c r="A313" s="1" t="s">
        <v>10</v>
      </c>
      <c r="B313" t="str">
        <f>VLOOKUP(A313,'Area Breakdown'!$B$1:$C$33,2,)</f>
        <v xml:space="preserve">Alexandria </v>
      </c>
      <c r="C313" s="2">
        <v>44300</v>
      </c>
      <c r="D313" s="3">
        <v>40.800000000000004</v>
      </c>
    </row>
    <row r="314" spans="1:4" ht="14.7" hidden="1" thickBot="1" x14ac:dyDescent="0.6">
      <c r="A314" s="1" t="s">
        <v>15</v>
      </c>
      <c r="B314" t="str">
        <f>VLOOKUP(A314,'Area Breakdown'!$B$1:$C$33,2,)</f>
        <v>Heliopolis</v>
      </c>
      <c r="C314" s="2">
        <v>44300</v>
      </c>
      <c r="D314" s="3">
        <v>36.800000000000004</v>
      </c>
    </row>
    <row r="315" spans="1:4" ht="14.7" hidden="1" thickBot="1" x14ac:dyDescent="0.6">
      <c r="A315" s="1" t="s">
        <v>23</v>
      </c>
      <c r="B315" t="str">
        <f>VLOOKUP(A315,'Area Breakdown'!$B$1:$C$33,2,)</f>
        <v>Heliopolis</v>
      </c>
      <c r="C315" s="2">
        <v>44300</v>
      </c>
      <c r="D315" s="3">
        <v>22.400000000000002</v>
      </c>
    </row>
    <row r="316" spans="1:4" ht="14.7" hidden="1" thickBot="1" x14ac:dyDescent="0.6">
      <c r="A316" s="1" t="s">
        <v>7</v>
      </c>
      <c r="B316" t="str">
        <f>VLOOKUP(A316,'Area Breakdown'!$B$1:$C$33,2,)</f>
        <v>October</v>
      </c>
      <c r="C316" s="2">
        <v>44300</v>
      </c>
      <c r="D316" s="3">
        <v>19.200000000000003</v>
      </c>
    </row>
    <row r="317" spans="1:4" ht="14.7" hidden="1" thickBot="1" x14ac:dyDescent="0.6">
      <c r="A317" s="1" t="s">
        <v>22</v>
      </c>
      <c r="B317" t="str">
        <f>VLOOKUP(A317,'Area Breakdown'!$B$1:$C$33,2,)</f>
        <v>Heliopolis</v>
      </c>
      <c r="C317" s="2">
        <v>44301</v>
      </c>
      <c r="D317" s="3">
        <v>442</v>
      </c>
    </row>
    <row r="318" spans="1:4" ht="14.7" hidden="1" thickBot="1" x14ac:dyDescent="0.6">
      <c r="A318" s="1" t="s">
        <v>12</v>
      </c>
      <c r="B318" t="str">
        <f>VLOOKUP(A318,'Area Breakdown'!$B$1:$C$33,2,)</f>
        <v>New Cairo</v>
      </c>
      <c r="C318" s="2">
        <v>44301</v>
      </c>
      <c r="D318" s="3">
        <v>414.8</v>
      </c>
    </row>
    <row r="319" spans="1:4" ht="14.7" hidden="1" thickBot="1" x14ac:dyDescent="0.6">
      <c r="A319" s="1" t="s">
        <v>19</v>
      </c>
      <c r="B319" t="str">
        <f>VLOOKUP(A319,'Area Breakdown'!$B$1:$C$33,2,)</f>
        <v>Downtown</v>
      </c>
      <c r="C319" s="2">
        <v>44301</v>
      </c>
      <c r="D319" s="3">
        <v>387.6</v>
      </c>
    </row>
    <row r="320" spans="1:4" ht="14.7" hidden="1" thickBot="1" x14ac:dyDescent="0.6">
      <c r="A320" s="1" t="s">
        <v>17</v>
      </c>
      <c r="B320" t="str">
        <f>VLOOKUP(A320,'Area Breakdown'!$B$1:$C$33,2,)</f>
        <v>Heliopolis</v>
      </c>
      <c r="C320" s="2">
        <v>44301</v>
      </c>
      <c r="D320" s="3">
        <v>360.8</v>
      </c>
    </row>
    <row r="321" spans="1:4" ht="14.7" hidden="1" thickBot="1" x14ac:dyDescent="0.6">
      <c r="A321" s="1" t="s">
        <v>20</v>
      </c>
      <c r="B321" t="str">
        <f>VLOOKUP(A321,'Area Breakdown'!$B$1:$C$33,2,)</f>
        <v>Downtown</v>
      </c>
      <c r="C321" s="2">
        <v>44301</v>
      </c>
      <c r="D321" s="3">
        <v>236.8</v>
      </c>
    </row>
    <row r="322" spans="1:4" ht="14.7" hidden="1" thickBot="1" x14ac:dyDescent="0.6">
      <c r="A322" s="1" t="s">
        <v>25</v>
      </c>
      <c r="B322" t="str">
        <f>VLOOKUP(A322,'Area Breakdown'!$B$1:$C$33,2,)</f>
        <v>October</v>
      </c>
      <c r="C322" s="2">
        <v>44301</v>
      </c>
      <c r="D322" s="3">
        <v>230</v>
      </c>
    </row>
    <row r="323" spans="1:4" ht="14.7" hidden="1" thickBot="1" x14ac:dyDescent="0.6">
      <c r="A323" s="1" t="s">
        <v>24</v>
      </c>
      <c r="B323" t="str">
        <f>VLOOKUP(A323,'Area Breakdown'!$B$1:$C$33,2,)</f>
        <v>October</v>
      </c>
      <c r="C323" s="2">
        <v>44301</v>
      </c>
      <c r="D323" s="3">
        <v>215.60000000000002</v>
      </c>
    </row>
    <row r="324" spans="1:4" ht="14.7" hidden="1" thickBot="1" x14ac:dyDescent="0.6">
      <c r="A324" s="1" t="s">
        <v>2</v>
      </c>
      <c r="B324" t="str">
        <f>VLOOKUP(A324,'Area Breakdown'!$B$1:$C$33,2,)</f>
        <v>Downtown</v>
      </c>
      <c r="C324" s="2">
        <v>44301</v>
      </c>
      <c r="D324" s="3">
        <v>210.8</v>
      </c>
    </row>
    <row r="325" spans="1:4" ht="14.7" hidden="1" thickBot="1" x14ac:dyDescent="0.6">
      <c r="A325" s="1" t="s">
        <v>3</v>
      </c>
      <c r="B325" t="str">
        <f>VLOOKUP(A325,'Area Breakdown'!$B$1:$C$33,2,)</f>
        <v>Downtown</v>
      </c>
      <c r="C325" s="2">
        <v>44301</v>
      </c>
      <c r="D325" s="3">
        <v>191.60000000000002</v>
      </c>
    </row>
    <row r="326" spans="1:4" ht="14.7" hidden="1" thickBot="1" x14ac:dyDescent="0.6">
      <c r="A326" s="1" t="s">
        <v>0</v>
      </c>
      <c r="B326" t="str">
        <f>VLOOKUP(A326,'Area Breakdown'!$B$1:$C$33,2,)</f>
        <v>Downtown</v>
      </c>
      <c r="C326" s="2">
        <v>44301</v>
      </c>
      <c r="D326" s="3">
        <v>190</v>
      </c>
    </row>
    <row r="327" spans="1:4" ht="14.7" hidden="1" thickBot="1" x14ac:dyDescent="0.6">
      <c r="A327" s="1" t="s">
        <v>16</v>
      </c>
      <c r="B327" t="str">
        <f>VLOOKUP(A327,'Area Breakdown'!$B$1:$C$33,2,)</f>
        <v>Downtown</v>
      </c>
      <c r="C327" s="2">
        <v>44301</v>
      </c>
      <c r="D327" s="3">
        <v>171.60000000000002</v>
      </c>
    </row>
    <row r="328" spans="1:4" ht="14.7" hidden="1" thickBot="1" x14ac:dyDescent="0.6">
      <c r="A328" s="1" t="s">
        <v>21</v>
      </c>
      <c r="B328" t="str">
        <f>VLOOKUP(A328,'Area Breakdown'!$B$1:$C$33,2,)</f>
        <v>Heliopolis</v>
      </c>
      <c r="C328" s="2">
        <v>44301</v>
      </c>
      <c r="D328" s="3">
        <v>141.20000000000002</v>
      </c>
    </row>
    <row r="329" spans="1:4" ht="14.7" hidden="1" thickBot="1" x14ac:dyDescent="0.6">
      <c r="A329" s="1" t="s">
        <v>10</v>
      </c>
      <c r="B329" t="str">
        <f>VLOOKUP(A329,'Area Breakdown'!$B$1:$C$33,2,)</f>
        <v xml:space="preserve">Alexandria </v>
      </c>
      <c r="C329" s="2">
        <v>44301</v>
      </c>
      <c r="D329" s="3">
        <v>141.20000000000002</v>
      </c>
    </row>
    <row r="330" spans="1:4" ht="14.7" hidden="1" thickBot="1" x14ac:dyDescent="0.6">
      <c r="A330" s="1" t="s">
        <v>4</v>
      </c>
      <c r="B330" t="str">
        <f>VLOOKUP(A330,'Area Breakdown'!$B$1:$C$33,2,)</f>
        <v>Downtown</v>
      </c>
      <c r="C330" s="2">
        <v>44301</v>
      </c>
      <c r="D330" s="3">
        <v>122</v>
      </c>
    </row>
    <row r="331" spans="1:4" ht="14.7" hidden="1" thickBot="1" x14ac:dyDescent="0.6">
      <c r="A331" s="1" t="s">
        <v>6</v>
      </c>
      <c r="B331" t="str">
        <f>VLOOKUP(A331,'Area Breakdown'!$B$1:$C$33,2,)</f>
        <v xml:space="preserve">Alexandria </v>
      </c>
      <c r="C331" s="2">
        <v>44301</v>
      </c>
      <c r="D331" s="3">
        <v>119.2</v>
      </c>
    </row>
    <row r="332" spans="1:4" ht="14.7" hidden="1" thickBot="1" x14ac:dyDescent="0.6">
      <c r="A332" s="1" t="s">
        <v>23</v>
      </c>
      <c r="B332" t="str">
        <f>VLOOKUP(A332,'Area Breakdown'!$B$1:$C$33,2,)</f>
        <v>Heliopolis</v>
      </c>
      <c r="C332" s="2">
        <v>44301</v>
      </c>
      <c r="D332" s="3">
        <v>118</v>
      </c>
    </row>
    <row r="333" spans="1:4" ht="14.7" hidden="1" thickBot="1" x14ac:dyDescent="0.6">
      <c r="A333" s="1" t="s">
        <v>8</v>
      </c>
      <c r="B333" t="str">
        <f>VLOOKUP(A333,'Area Breakdown'!$B$1:$C$33,2,)</f>
        <v>Heliopolis</v>
      </c>
      <c r="C333" s="2">
        <v>44301</v>
      </c>
      <c r="D333" s="3">
        <v>100</v>
      </c>
    </row>
    <row r="334" spans="1:4" ht="14.7" hidden="1" thickBot="1" x14ac:dyDescent="0.6">
      <c r="A334" s="1" t="s">
        <v>1</v>
      </c>
      <c r="B334" t="str">
        <f>VLOOKUP(A334,'Area Breakdown'!$B$1:$C$33,2,)</f>
        <v>Downtown</v>
      </c>
      <c r="C334" s="2">
        <v>44301</v>
      </c>
      <c r="D334" s="3">
        <v>96</v>
      </c>
    </row>
    <row r="335" spans="1:4" ht="14.7" hidden="1" thickBot="1" x14ac:dyDescent="0.6">
      <c r="A335" s="1" t="s">
        <v>9</v>
      </c>
      <c r="B335" t="str">
        <f>VLOOKUP(A335,'Area Breakdown'!$B$1:$C$33,2,)</f>
        <v xml:space="preserve">Alexandria </v>
      </c>
      <c r="C335" s="2">
        <v>44301</v>
      </c>
      <c r="D335" s="3">
        <v>93.2</v>
      </c>
    </row>
    <row r="336" spans="1:4" ht="14.7" hidden="1" thickBot="1" x14ac:dyDescent="0.6">
      <c r="A336" s="1" t="s">
        <v>11</v>
      </c>
      <c r="B336" t="str">
        <f>VLOOKUP(A336,'Area Breakdown'!$B$1:$C$33,2,)</f>
        <v>New Cairo</v>
      </c>
      <c r="C336" s="2">
        <v>44301</v>
      </c>
      <c r="D336" s="3">
        <v>92.800000000000011</v>
      </c>
    </row>
    <row r="337" spans="1:4" ht="14.7" hidden="1" thickBot="1" x14ac:dyDescent="0.6">
      <c r="A337" s="1" t="s">
        <v>13</v>
      </c>
      <c r="B337" t="str">
        <f>VLOOKUP(A337,'Area Breakdown'!$B$1:$C$33,2,)</f>
        <v>Heliopolis</v>
      </c>
      <c r="C337" s="2">
        <v>44301</v>
      </c>
      <c r="D337" s="3">
        <v>40</v>
      </c>
    </row>
    <row r="338" spans="1:4" ht="14.7" hidden="1" thickBot="1" x14ac:dyDescent="0.6">
      <c r="A338" s="1" t="s">
        <v>15</v>
      </c>
      <c r="B338" t="str">
        <f>VLOOKUP(A338,'Area Breakdown'!$B$1:$C$33,2,)</f>
        <v>Heliopolis</v>
      </c>
      <c r="C338" s="2">
        <v>44301</v>
      </c>
      <c r="D338" s="3">
        <v>18.8</v>
      </c>
    </row>
    <row r="339" spans="1:4" ht="14.7" hidden="1" thickBot="1" x14ac:dyDescent="0.6">
      <c r="A339" s="1" t="s">
        <v>22</v>
      </c>
      <c r="B339" t="str">
        <f>VLOOKUP(A339,'Area Breakdown'!$B$1:$C$33,2,)</f>
        <v>Heliopolis</v>
      </c>
      <c r="C339" s="2">
        <v>44302</v>
      </c>
      <c r="D339" s="3">
        <v>483.6</v>
      </c>
    </row>
    <row r="340" spans="1:4" ht="14.7" hidden="1" thickBot="1" x14ac:dyDescent="0.6">
      <c r="A340" s="1" t="s">
        <v>21</v>
      </c>
      <c r="B340" t="str">
        <f>VLOOKUP(A340,'Area Breakdown'!$B$1:$C$33,2,)</f>
        <v>Heliopolis</v>
      </c>
      <c r="C340" s="2">
        <v>44302</v>
      </c>
      <c r="D340" s="3">
        <v>452.8</v>
      </c>
    </row>
    <row r="341" spans="1:4" ht="14.7" hidden="1" thickBot="1" x14ac:dyDescent="0.6">
      <c r="A341" s="1" t="s">
        <v>20</v>
      </c>
      <c r="B341" t="str">
        <f>VLOOKUP(A341,'Area Breakdown'!$B$1:$C$33,2,)</f>
        <v>Downtown</v>
      </c>
      <c r="C341" s="2">
        <v>44302</v>
      </c>
      <c r="D341" s="3">
        <v>386.40000000000003</v>
      </c>
    </row>
    <row r="342" spans="1:4" ht="14.7" hidden="1" thickBot="1" x14ac:dyDescent="0.6">
      <c r="A342" s="1" t="s">
        <v>12</v>
      </c>
      <c r="B342" t="str">
        <f>VLOOKUP(A342,'Area Breakdown'!$B$1:$C$33,2,)</f>
        <v>New Cairo</v>
      </c>
      <c r="C342" s="2">
        <v>44302</v>
      </c>
      <c r="D342" s="3">
        <v>341.6</v>
      </c>
    </row>
    <row r="343" spans="1:4" ht="14.7" hidden="1" thickBot="1" x14ac:dyDescent="0.6">
      <c r="A343" s="1" t="s">
        <v>19</v>
      </c>
      <c r="B343" t="str">
        <f>VLOOKUP(A343,'Area Breakdown'!$B$1:$C$33,2,)</f>
        <v>Downtown</v>
      </c>
      <c r="C343" s="2">
        <v>44302</v>
      </c>
      <c r="D343" s="3">
        <v>321.60000000000002</v>
      </c>
    </row>
    <row r="344" spans="1:4" ht="14.7" hidden="1" thickBot="1" x14ac:dyDescent="0.6">
      <c r="A344" s="1" t="s">
        <v>2</v>
      </c>
      <c r="B344" t="str">
        <f>VLOOKUP(A344,'Area Breakdown'!$B$1:$C$33,2,)</f>
        <v>Downtown</v>
      </c>
      <c r="C344" s="2">
        <v>44302</v>
      </c>
      <c r="D344" s="3">
        <v>288.40000000000003</v>
      </c>
    </row>
    <row r="345" spans="1:4" ht="14.7" hidden="1" thickBot="1" x14ac:dyDescent="0.6">
      <c r="A345" s="1" t="s">
        <v>25</v>
      </c>
      <c r="B345" t="str">
        <f>VLOOKUP(A345,'Area Breakdown'!$B$1:$C$33,2,)</f>
        <v>October</v>
      </c>
      <c r="C345" s="2">
        <v>44302</v>
      </c>
      <c r="D345" s="3">
        <v>255.60000000000002</v>
      </c>
    </row>
    <row r="346" spans="1:4" ht="14.7" hidden="1" thickBot="1" x14ac:dyDescent="0.6">
      <c r="A346" s="1" t="s">
        <v>11</v>
      </c>
      <c r="B346" t="str">
        <f>VLOOKUP(A346,'Area Breakdown'!$B$1:$C$33,2,)</f>
        <v>New Cairo</v>
      </c>
      <c r="C346" s="2">
        <v>44302</v>
      </c>
      <c r="D346" s="3">
        <v>242</v>
      </c>
    </row>
    <row r="347" spans="1:4" ht="14.7" hidden="1" thickBot="1" x14ac:dyDescent="0.6">
      <c r="A347" s="1" t="s">
        <v>17</v>
      </c>
      <c r="B347" t="str">
        <f>VLOOKUP(A347,'Area Breakdown'!$B$1:$C$33,2,)</f>
        <v>Heliopolis</v>
      </c>
      <c r="C347" s="2">
        <v>44302</v>
      </c>
      <c r="D347" s="3">
        <v>233.20000000000002</v>
      </c>
    </row>
    <row r="348" spans="1:4" ht="14.7" hidden="1" thickBot="1" x14ac:dyDescent="0.6">
      <c r="A348" s="1" t="s">
        <v>9</v>
      </c>
      <c r="B348" t="str">
        <f>VLOOKUP(A348,'Area Breakdown'!$B$1:$C$33,2,)</f>
        <v xml:space="preserve">Alexandria </v>
      </c>
      <c r="C348" s="2">
        <v>44302</v>
      </c>
      <c r="D348" s="3">
        <v>221.60000000000002</v>
      </c>
    </row>
    <row r="349" spans="1:4" ht="14.7" hidden="1" thickBot="1" x14ac:dyDescent="0.6">
      <c r="A349" s="1" t="s">
        <v>10</v>
      </c>
      <c r="B349" t="str">
        <f>VLOOKUP(A349,'Area Breakdown'!$B$1:$C$33,2,)</f>
        <v xml:space="preserve">Alexandria </v>
      </c>
      <c r="C349" s="2">
        <v>44302</v>
      </c>
      <c r="D349" s="3">
        <v>220</v>
      </c>
    </row>
    <row r="350" spans="1:4" ht="14.7" hidden="1" thickBot="1" x14ac:dyDescent="0.6">
      <c r="A350" s="1" t="s">
        <v>0</v>
      </c>
      <c r="B350" t="str">
        <f>VLOOKUP(A350,'Area Breakdown'!$B$1:$C$33,2,)</f>
        <v>Downtown</v>
      </c>
      <c r="C350" s="2">
        <v>44302</v>
      </c>
      <c r="D350" s="3">
        <v>203.60000000000002</v>
      </c>
    </row>
    <row r="351" spans="1:4" ht="14.7" hidden="1" thickBot="1" x14ac:dyDescent="0.6">
      <c r="A351" s="1" t="s">
        <v>3</v>
      </c>
      <c r="B351" t="str">
        <f>VLOOKUP(A351,'Area Breakdown'!$B$1:$C$33,2,)</f>
        <v>Downtown</v>
      </c>
      <c r="C351" s="2">
        <v>44302</v>
      </c>
      <c r="D351" s="3">
        <v>186</v>
      </c>
    </row>
    <row r="352" spans="1:4" ht="14.7" hidden="1" thickBot="1" x14ac:dyDescent="0.6">
      <c r="A352" s="1" t="s">
        <v>16</v>
      </c>
      <c r="B352" t="str">
        <f>VLOOKUP(A352,'Area Breakdown'!$B$1:$C$33,2,)</f>
        <v>Downtown</v>
      </c>
      <c r="C352" s="2">
        <v>44302</v>
      </c>
      <c r="D352" s="3">
        <v>177.60000000000002</v>
      </c>
    </row>
    <row r="353" spans="1:4" ht="14.7" hidden="1" thickBot="1" x14ac:dyDescent="0.6">
      <c r="A353" s="1" t="s">
        <v>1</v>
      </c>
      <c r="B353" t="str">
        <f>VLOOKUP(A353,'Area Breakdown'!$B$1:$C$33,2,)</f>
        <v>Downtown</v>
      </c>
      <c r="C353" s="2">
        <v>44302</v>
      </c>
      <c r="D353" s="3">
        <v>128.4</v>
      </c>
    </row>
    <row r="354" spans="1:4" ht="14.7" hidden="1" thickBot="1" x14ac:dyDescent="0.6">
      <c r="A354" s="1" t="s">
        <v>6</v>
      </c>
      <c r="B354" t="str">
        <f>VLOOKUP(A354,'Area Breakdown'!$B$1:$C$33,2,)</f>
        <v xml:space="preserve">Alexandria </v>
      </c>
      <c r="C354" s="2">
        <v>44302</v>
      </c>
      <c r="D354" s="3">
        <v>104.80000000000001</v>
      </c>
    </row>
    <row r="355" spans="1:4" ht="14.7" hidden="1" thickBot="1" x14ac:dyDescent="0.6">
      <c r="A355" s="1" t="s">
        <v>13</v>
      </c>
      <c r="B355" t="str">
        <f>VLOOKUP(A355,'Area Breakdown'!$B$1:$C$33,2,)</f>
        <v>Heliopolis</v>
      </c>
      <c r="C355" s="2">
        <v>44302</v>
      </c>
      <c r="D355" s="3">
        <v>97.2</v>
      </c>
    </row>
    <row r="356" spans="1:4" ht="14.7" hidden="1" thickBot="1" x14ac:dyDescent="0.6">
      <c r="A356" s="1" t="s">
        <v>7</v>
      </c>
      <c r="B356" t="str">
        <f>VLOOKUP(A356,'Area Breakdown'!$B$1:$C$33,2,)</f>
        <v>October</v>
      </c>
      <c r="C356" s="2">
        <v>44302</v>
      </c>
      <c r="D356" s="3">
        <v>90.800000000000011</v>
      </c>
    </row>
    <row r="357" spans="1:4" ht="14.7" hidden="1" thickBot="1" x14ac:dyDescent="0.6">
      <c r="A357" s="1" t="s">
        <v>24</v>
      </c>
      <c r="B357" t="str">
        <f>VLOOKUP(A357,'Area Breakdown'!$B$1:$C$33,2,)</f>
        <v>October</v>
      </c>
      <c r="C357" s="2">
        <v>44302</v>
      </c>
      <c r="D357" s="3">
        <v>72.8</v>
      </c>
    </row>
    <row r="358" spans="1:4" ht="14.7" hidden="1" thickBot="1" x14ac:dyDescent="0.6">
      <c r="A358" s="1" t="s">
        <v>4</v>
      </c>
      <c r="B358" t="str">
        <f>VLOOKUP(A358,'Area Breakdown'!$B$1:$C$33,2,)</f>
        <v>Downtown</v>
      </c>
      <c r="C358" s="2">
        <v>44302</v>
      </c>
      <c r="D358" s="3">
        <v>52.400000000000006</v>
      </c>
    </row>
    <row r="359" spans="1:4" ht="14.7" hidden="1" thickBot="1" x14ac:dyDescent="0.6">
      <c r="A359" s="1" t="s">
        <v>23</v>
      </c>
      <c r="B359" t="str">
        <f>VLOOKUP(A359,'Area Breakdown'!$B$1:$C$33,2,)</f>
        <v>Heliopolis</v>
      </c>
      <c r="C359" s="2">
        <v>44302</v>
      </c>
      <c r="D359" s="3">
        <v>22.8</v>
      </c>
    </row>
    <row r="360" spans="1:4" ht="14.7" hidden="1" thickBot="1" x14ac:dyDescent="0.6">
      <c r="A360" s="1" t="s">
        <v>8</v>
      </c>
      <c r="B360" t="str">
        <f>VLOOKUP(A360,'Area Breakdown'!$B$1:$C$33,2,)</f>
        <v>Heliopolis</v>
      </c>
      <c r="C360" s="2">
        <v>44302</v>
      </c>
      <c r="D360" s="3">
        <v>12.4</v>
      </c>
    </row>
    <row r="361" spans="1:4" ht="14.7" hidden="1" thickBot="1" x14ac:dyDescent="0.6">
      <c r="A361" s="1" t="s">
        <v>12</v>
      </c>
      <c r="B361" t="str">
        <f>VLOOKUP(A361,'Area Breakdown'!$B$1:$C$33,2,)</f>
        <v>New Cairo</v>
      </c>
      <c r="C361" s="2">
        <v>44303</v>
      </c>
      <c r="D361" s="3">
        <v>597.20000000000005</v>
      </c>
    </row>
    <row r="362" spans="1:4" ht="14.7" hidden="1" thickBot="1" x14ac:dyDescent="0.6">
      <c r="A362" s="1" t="s">
        <v>21</v>
      </c>
      <c r="B362" t="str">
        <f>VLOOKUP(A362,'Area Breakdown'!$B$1:$C$33,2,)</f>
        <v>Heliopolis</v>
      </c>
      <c r="C362" s="2">
        <v>44303</v>
      </c>
      <c r="D362" s="3">
        <v>542.4</v>
      </c>
    </row>
    <row r="363" spans="1:4" ht="14.7" hidden="1" thickBot="1" x14ac:dyDescent="0.6">
      <c r="A363" s="1" t="s">
        <v>22</v>
      </c>
      <c r="B363" t="str">
        <f>VLOOKUP(A363,'Area Breakdown'!$B$1:$C$33,2,)</f>
        <v>Heliopolis</v>
      </c>
      <c r="C363" s="2">
        <v>44303</v>
      </c>
      <c r="D363" s="3">
        <v>536.4</v>
      </c>
    </row>
    <row r="364" spans="1:4" ht="14.7" hidden="1" thickBot="1" x14ac:dyDescent="0.6">
      <c r="A364" s="1" t="s">
        <v>16</v>
      </c>
      <c r="B364" t="str">
        <f>VLOOKUP(A364,'Area Breakdown'!$B$1:$C$33,2,)</f>
        <v>Downtown</v>
      </c>
      <c r="C364" s="2">
        <v>44303</v>
      </c>
      <c r="D364" s="3">
        <v>464</v>
      </c>
    </row>
    <row r="365" spans="1:4" ht="14.7" hidden="1" thickBot="1" x14ac:dyDescent="0.6">
      <c r="A365" s="1" t="s">
        <v>24</v>
      </c>
      <c r="B365" t="str">
        <f>VLOOKUP(A365,'Area Breakdown'!$B$1:$C$33,2,)</f>
        <v>October</v>
      </c>
      <c r="C365" s="2">
        <v>44303</v>
      </c>
      <c r="D365" s="3">
        <v>372.40000000000003</v>
      </c>
    </row>
    <row r="366" spans="1:4" ht="14.7" hidden="1" thickBot="1" x14ac:dyDescent="0.6">
      <c r="A366" s="1" t="s">
        <v>19</v>
      </c>
      <c r="B366" t="str">
        <f>VLOOKUP(A366,'Area Breakdown'!$B$1:$C$33,2,)</f>
        <v>Downtown</v>
      </c>
      <c r="C366" s="2">
        <v>44303</v>
      </c>
      <c r="D366" s="3">
        <v>371.6</v>
      </c>
    </row>
    <row r="367" spans="1:4" ht="14.7" hidden="1" thickBot="1" x14ac:dyDescent="0.6">
      <c r="A367" s="1" t="s">
        <v>17</v>
      </c>
      <c r="B367" t="str">
        <f>VLOOKUP(A367,'Area Breakdown'!$B$1:$C$33,2,)</f>
        <v>Heliopolis</v>
      </c>
      <c r="C367" s="2">
        <v>44303</v>
      </c>
      <c r="D367" s="3">
        <v>349.6</v>
      </c>
    </row>
    <row r="368" spans="1:4" ht="14.7" hidden="1" thickBot="1" x14ac:dyDescent="0.6">
      <c r="A368" s="1" t="s">
        <v>23</v>
      </c>
      <c r="B368" t="str">
        <f>VLOOKUP(A368,'Area Breakdown'!$B$1:$C$33,2,)</f>
        <v>Heliopolis</v>
      </c>
      <c r="C368" s="2">
        <v>44303</v>
      </c>
      <c r="D368" s="3">
        <v>336.8</v>
      </c>
    </row>
    <row r="369" spans="1:4" ht="14.7" hidden="1" thickBot="1" x14ac:dyDescent="0.6">
      <c r="A369" s="1" t="s">
        <v>2</v>
      </c>
      <c r="B369" t="str">
        <f>VLOOKUP(A369,'Area Breakdown'!$B$1:$C$33,2,)</f>
        <v>Downtown</v>
      </c>
      <c r="C369" s="2">
        <v>44303</v>
      </c>
      <c r="D369" s="3">
        <v>292.8</v>
      </c>
    </row>
    <row r="370" spans="1:4" ht="14.7" hidden="1" thickBot="1" x14ac:dyDescent="0.6">
      <c r="A370" s="1" t="s">
        <v>3</v>
      </c>
      <c r="B370" t="str">
        <f>VLOOKUP(A370,'Area Breakdown'!$B$1:$C$33,2,)</f>
        <v>Downtown</v>
      </c>
      <c r="C370" s="2">
        <v>44303</v>
      </c>
      <c r="D370" s="3">
        <v>218.4</v>
      </c>
    </row>
    <row r="371" spans="1:4" ht="14.7" hidden="1" thickBot="1" x14ac:dyDescent="0.6">
      <c r="A371" s="1" t="s">
        <v>10</v>
      </c>
      <c r="B371" t="str">
        <f>VLOOKUP(A371,'Area Breakdown'!$B$1:$C$33,2,)</f>
        <v xml:space="preserve">Alexandria </v>
      </c>
      <c r="C371" s="2">
        <v>44303</v>
      </c>
      <c r="D371" s="3">
        <v>187.20000000000002</v>
      </c>
    </row>
    <row r="372" spans="1:4" ht="14.7" hidden="1" thickBot="1" x14ac:dyDescent="0.6">
      <c r="A372" s="1" t="s">
        <v>25</v>
      </c>
      <c r="B372" t="str">
        <f>VLOOKUP(A372,'Area Breakdown'!$B$1:$C$33,2,)</f>
        <v>October</v>
      </c>
      <c r="C372" s="2">
        <v>44303</v>
      </c>
      <c r="D372" s="3">
        <v>183.60000000000002</v>
      </c>
    </row>
    <row r="373" spans="1:4" ht="14.7" hidden="1" thickBot="1" x14ac:dyDescent="0.6">
      <c r="A373" s="1" t="s">
        <v>6</v>
      </c>
      <c r="B373" t="str">
        <f>VLOOKUP(A373,'Area Breakdown'!$B$1:$C$33,2,)</f>
        <v xml:space="preserve">Alexandria </v>
      </c>
      <c r="C373" s="2">
        <v>44303</v>
      </c>
      <c r="D373" s="3">
        <v>177.20000000000002</v>
      </c>
    </row>
    <row r="374" spans="1:4" ht="14.7" hidden="1" thickBot="1" x14ac:dyDescent="0.6">
      <c r="A374" s="1" t="s">
        <v>0</v>
      </c>
      <c r="B374" t="str">
        <f>VLOOKUP(A374,'Area Breakdown'!$B$1:$C$33,2,)</f>
        <v>Downtown</v>
      </c>
      <c r="C374" s="2">
        <v>44303</v>
      </c>
      <c r="D374" s="3">
        <v>163.60000000000002</v>
      </c>
    </row>
    <row r="375" spans="1:4" ht="14.7" hidden="1" thickBot="1" x14ac:dyDescent="0.6">
      <c r="A375" s="1" t="s">
        <v>20</v>
      </c>
      <c r="B375" t="str">
        <f>VLOOKUP(A375,'Area Breakdown'!$B$1:$C$33,2,)</f>
        <v>Downtown</v>
      </c>
      <c r="C375" s="2">
        <v>44303</v>
      </c>
      <c r="D375" s="3">
        <v>144.4</v>
      </c>
    </row>
    <row r="376" spans="1:4" ht="14.7" hidden="1" thickBot="1" x14ac:dyDescent="0.6">
      <c r="A376" s="1" t="s">
        <v>9</v>
      </c>
      <c r="B376" t="str">
        <f>VLOOKUP(A376,'Area Breakdown'!$B$1:$C$33,2,)</f>
        <v xml:space="preserve">Alexandria </v>
      </c>
      <c r="C376" s="2">
        <v>44303</v>
      </c>
      <c r="D376" s="3">
        <v>136.80000000000001</v>
      </c>
    </row>
    <row r="377" spans="1:4" ht="14.7" hidden="1" thickBot="1" x14ac:dyDescent="0.6">
      <c r="A377" s="1" t="s">
        <v>1</v>
      </c>
      <c r="B377" t="str">
        <f>VLOOKUP(A377,'Area Breakdown'!$B$1:$C$33,2,)</f>
        <v>Downtown</v>
      </c>
      <c r="C377" s="2">
        <v>44303</v>
      </c>
      <c r="D377" s="3">
        <v>94.4</v>
      </c>
    </row>
    <row r="378" spans="1:4" ht="14.7" hidden="1" thickBot="1" x14ac:dyDescent="0.6">
      <c r="A378" s="1" t="s">
        <v>7</v>
      </c>
      <c r="B378" t="str">
        <f>VLOOKUP(A378,'Area Breakdown'!$B$1:$C$33,2,)</f>
        <v>October</v>
      </c>
      <c r="C378" s="2">
        <v>44303</v>
      </c>
      <c r="D378" s="3">
        <v>71.600000000000009</v>
      </c>
    </row>
    <row r="379" spans="1:4" ht="14.7" hidden="1" thickBot="1" x14ac:dyDescent="0.6">
      <c r="A379" s="1" t="s">
        <v>13</v>
      </c>
      <c r="B379" t="str">
        <f>VLOOKUP(A379,'Area Breakdown'!$B$1:$C$33,2,)</f>
        <v>Heliopolis</v>
      </c>
      <c r="C379" s="2">
        <v>44303</v>
      </c>
      <c r="D379" s="3">
        <v>70</v>
      </c>
    </row>
    <row r="380" spans="1:4" ht="14.7" hidden="1" thickBot="1" x14ac:dyDescent="0.6">
      <c r="A380" s="1" t="s">
        <v>11</v>
      </c>
      <c r="B380" t="str">
        <f>VLOOKUP(A380,'Area Breakdown'!$B$1:$C$33,2,)</f>
        <v>New Cairo</v>
      </c>
      <c r="C380" s="2">
        <v>44303</v>
      </c>
      <c r="D380" s="3">
        <v>59.6</v>
      </c>
    </row>
    <row r="381" spans="1:4" ht="14.7" hidden="1" thickBot="1" x14ac:dyDescent="0.6">
      <c r="A381" s="1" t="s">
        <v>4</v>
      </c>
      <c r="B381" t="str">
        <f>VLOOKUP(A381,'Area Breakdown'!$B$1:$C$33,2,)</f>
        <v>Downtown</v>
      </c>
      <c r="C381" s="2">
        <v>44303</v>
      </c>
      <c r="D381" s="3">
        <v>55.6</v>
      </c>
    </row>
    <row r="382" spans="1:4" ht="14.7" hidden="1" thickBot="1" x14ac:dyDescent="0.6">
      <c r="A382" s="1" t="s">
        <v>15</v>
      </c>
      <c r="B382" t="str">
        <f>VLOOKUP(A382,'Area Breakdown'!$B$1:$C$33,2,)</f>
        <v>Heliopolis</v>
      </c>
      <c r="C382" s="2">
        <v>44303</v>
      </c>
      <c r="D382" s="3">
        <v>44.400000000000006</v>
      </c>
    </row>
    <row r="383" spans="1:4" ht="14.7" hidden="1" thickBot="1" x14ac:dyDescent="0.6">
      <c r="A383" s="1" t="s">
        <v>8</v>
      </c>
      <c r="B383" t="str">
        <f>VLOOKUP(A383,'Area Breakdown'!$B$1:$C$33,2,)</f>
        <v>Heliopolis</v>
      </c>
      <c r="C383" s="2">
        <v>44303</v>
      </c>
      <c r="D383" s="3">
        <v>33.200000000000003</v>
      </c>
    </row>
    <row r="384" spans="1:4" ht="14.7" hidden="1" thickBot="1" x14ac:dyDescent="0.6">
      <c r="A384" s="1" t="s">
        <v>12</v>
      </c>
      <c r="B384" t="str">
        <f>VLOOKUP(A384,'Area Breakdown'!$B$1:$C$33,2,)</f>
        <v>New Cairo</v>
      </c>
      <c r="C384" s="2">
        <v>44304</v>
      </c>
      <c r="D384" s="3">
        <v>776.40000000000009</v>
      </c>
    </row>
    <row r="385" spans="1:4" ht="14.7" hidden="1" thickBot="1" x14ac:dyDescent="0.6">
      <c r="A385" s="1" t="s">
        <v>22</v>
      </c>
      <c r="B385" t="str">
        <f>VLOOKUP(A385,'Area Breakdown'!$B$1:$C$33,2,)</f>
        <v>Heliopolis</v>
      </c>
      <c r="C385" s="2">
        <v>44304</v>
      </c>
      <c r="D385" s="3">
        <v>508</v>
      </c>
    </row>
    <row r="386" spans="1:4" ht="14.7" hidden="1" thickBot="1" x14ac:dyDescent="0.6">
      <c r="A386" s="1" t="s">
        <v>2</v>
      </c>
      <c r="B386" t="str">
        <f>VLOOKUP(A386,'Area Breakdown'!$B$1:$C$33,2,)</f>
        <v>Downtown</v>
      </c>
      <c r="C386" s="2">
        <v>44304</v>
      </c>
      <c r="D386" s="3">
        <v>385.6</v>
      </c>
    </row>
    <row r="387" spans="1:4" ht="14.7" hidden="1" thickBot="1" x14ac:dyDescent="0.6">
      <c r="A387" s="1" t="s">
        <v>16</v>
      </c>
      <c r="B387" t="str">
        <f>VLOOKUP(A387,'Area Breakdown'!$B$1:$C$33,2,)</f>
        <v>Downtown</v>
      </c>
      <c r="C387" s="2">
        <v>44304</v>
      </c>
      <c r="D387" s="3">
        <v>378.40000000000003</v>
      </c>
    </row>
    <row r="388" spans="1:4" ht="14.7" hidden="1" thickBot="1" x14ac:dyDescent="0.6">
      <c r="A388" s="1" t="s">
        <v>13</v>
      </c>
      <c r="B388" t="str">
        <f>VLOOKUP(A388,'Area Breakdown'!$B$1:$C$33,2,)</f>
        <v>Heliopolis</v>
      </c>
      <c r="C388" s="2">
        <v>44304</v>
      </c>
      <c r="D388" s="3">
        <v>324.40000000000003</v>
      </c>
    </row>
    <row r="389" spans="1:4" ht="14.7" hidden="1" thickBot="1" x14ac:dyDescent="0.6">
      <c r="A389" s="1" t="s">
        <v>21</v>
      </c>
      <c r="B389" t="str">
        <f>VLOOKUP(A389,'Area Breakdown'!$B$1:$C$33,2,)</f>
        <v>Heliopolis</v>
      </c>
      <c r="C389" s="2">
        <v>44304</v>
      </c>
      <c r="D389" s="3">
        <v>321.20000000000005</v>
      </c>
    </row>
    <row r="390" spans="1:4" ht="14.7" hidden="1" thickBot="1" x14ac:dyDescent="0.6">
      <c r="A390" s="1" t="s">
        <v>24</v>
      </c>
      <c r="B390" t="str">
        <f>VLOOKUP(A390,'Area Breakdown'!$B$1:$C$33,2,)</f>
        <v>October</v>
      </c>
      <c r="C390" s="2">
        <v>44304</v>
      </c>
      <c r="D390" s="3">
        <v>294.40000000000003</v>
      </c>
    </row>
    <row r="391" spans="1:4" ht="14.7" hidden="1" thickBot="1" x14ac:dyDescent="0.6">
      <c r="A391" s="1" t="s">
        <v>3</v>
      </c>
      <c r="B391" t="str">
        <f>VLOOKUP(A391,'Area Breakdown'!$B$1:$C$33,2,)</f>
        <v>Downtown</v>
      </c>
      <c r="C391" s="2">
        <v>44304</v>
      </c>
      <c r="D391" s="3">
        <v>289.60000000000002</v>
      </c>
    </row>
    <row r="392" spans="1:4" ht="14.7" hidden="1" thickBot="1" x14ac:dyDescent="0.6">
      <c r="A392" s="1" t="s">
        <v>17</v>
      </c>
      <c r="B392" t="str">
        <f>VLOOKUP(A392,'Area Breakdown'!$B$1:$C$33,2,)</f>
        <v>Heliopolis</v>
      </c>
      <c r="C392" s="2">
        <v>44304</v>
      </c>
      <c r="D392" s="3">
        <v>271.2</v>
      </c>
    </row>
    <row r="393" spans="1:4" ht="14.7" hidden="1" thickBot="1" x14ac:dyDescent="0.6">
      <c r="A393" s="1" t="s">
        <v>25</v>
      </c>
      <c r="B393" t="str">
        <f>VLOOKUP(A393,'Area Breakdown'!$B$1:$C$33,2,)</f>
        <v>October</v>
      </c>
      <c r="C393" s="2">
        <v>44304</v>
      </c>
      <c r="D393" s="3">
        <v>266</v>
      </c>
    </row>
    <row r="394" spans="1:4" ht="14.7" hidden="1" thickBot="1" x14ac:dyDescent="0.6">
      <c r="A394" s="1" t="s">
        <v>1</v>
      </c>
      <c r="B394" t="str">
        <f>VLOOKUP(A394,'Area Breakdown'!$B$1:$C$33,2,)</f>
        <v>Downtown</v>
      </c>
      <c r="C394" s="2">
        <v>44304</v>
      </c>
      <c r="D394" s="3">
        <v>260.40000000000003</v>
      </c>
    </row>
    <row r="395" spans="1:4" ht="14.7" hidden="1" thickBot="1" x14ac:dyDescent="0.6">
      <c r="A395" s="1" t="s">
        <v>19</v>
      </c>
      <c r="B395" t="str">
        <f>VLOOKUP(A395,'Area Breakdown'!$B$1:$C$33,2,)</f>
        <v>Downtown</v>
      </c>
      <c r="C395" s="2">
        <v>44304</v>
      </c>
      <c r="D395" s="3">
        <v>254.8</v>
      </c>
    </row>
    <row r="396" spans="1:4" ht="14.7" hidden="1" thickBot="1" x14ac:dyDescent="0.6">
      <c r="A396" s="1" t="s">
        <v>10</v>
      </c>
      <c r="B396" t="str">
        <f>VLOOKUP(A396,'Area Breakdown'!$B$1:$C$33,2,)</f>
        <v xml:space="preserve">Alexandria </v>
      </c>
      <c r="C396" s="2">
        <v>44304</v>
      </c>
      <c r="D396" s="3">
        <v>254.8</v>
      </c>
    </row>
    <row r="397" spans="1:4" ht="14.7" hidden="1" thickBot="1" x14ac:dyDescent="0.6">
      <c r="A397" s="1" t="s">
        <v>0</v>
      </c>
      <c r="B397" t="str">
        <f>VLOOKUP(A397,'Area Breakdown'!$B$1:$C$33,2,)</f>
        <v>Downtown</v>
      </c>
      <c r="C397" s="2">
        <v>44304</v>
      </c>
      <c r="D397" s="3">
        <v>251.60000000000002</v>
      </c>
    </row>
    <row r="398" spans="1:4" ht="14.7" hidden="1" thickBot="1" x14ac:dyDescent="0.6">
      <c r="A398" s="1" t="s">
        <v>20</v>
      </c>
      <c r="B398" t="str">
        <f>VLOOKUP(A398,'Area Breakdown'!$B$1:$C$33,2,)</f>
        <v>Downtown</v>
      </c>
      <c r="C398" s="2">
        <v>44304</v>
      </c>
      <c r="D398" s="3">
        <v>222</v>
      </c>
    </row>
    <row r="399" spans="1:4" ht="14.7" hidden="1" thickBot="1" x14ac:dyDescent="0.6">
      <c r="A399" s="1" t="s">
        <v>6</v>
      </c>
      <c r="B399" t="str">
        <f>VLOOKUP(A399,'Area Breakdown'!$B$1:$C$33,2,)</f>
        <v xml:space="preserve">Alexandria </v>
      </c>
      <c r="C399" s="2">
        <v>44304</v>
      </c>
      <c r="D399" s="3">
        <v>218.8</v>
      </c>
    </row>
    <row r="400" spans="1:4" ht="14.7" hidden="1" thickBot="1" x14ac:dyDescent="0.6">
      <c r="A400" s="1" t="s">
        <v>23</v>
      </c>
      <c r="B400" t="str">
        <f>VLOOKUP(A400,'Area Breakdown'!$B$1:$C$33,2,)</f>
        <v>Heliopolis</v>
      </c>
      <c r="C400" s="2">
        <v>44304</v>
      </c>
      <c r="D400" s="3">
        <v>216.4</v>
      </c>
    </row>
    <row r="401" spans="1:4" ht="14.7" hidden="1" thickBot="1" x14ac:dyDescent="0.6">
      <c r="A401" s="1" t="s">
        <v>9</v>
      </c>
      <c r="B401" t="str">
        <f>VLOOKUP(A401,'Area Breakdown'!$B$1:$C$33,2,)</f>
        <v xml:space="preserve">Alexandria </v>
      </c>
      <c r="C401" s="2">
        <v>44304</v>
      </c>
      <c r="D401" s="3">
        <v>188.8</v>
      </c>
    </row>
    <row r="402" spans="1:4" ht="14.7" hidden="1" thickBot="1" x14ac:dyDescent="0.6">
      <c r="A402" s="1" t="s">
        <v>4</v>
      </c>
      <c r="B402" t="str">
        <f>VLOOKUP(A402,'Area Breakdown'!$B$1:$C$33,2,)</f>
        <v>Downtown</v>
      </c>
      <c r="C402" s="2">
        <v>44304</v>
      </c>
      <c r="D402" s="3">
        <v>180.8</v>
      </c>
    </row>
    <row r="403" spans="1:4" ht="14.7" hidden="1" thickBot="1" x14ac:dyDescent="0.6">
      <c r="A403" s="1" t="s">
        <v>8</v>
      </c>
      <c r="B403" t="str">
        <f>VLOOKUP(A403,'Area Breakdown'!$B$1:$C$33,2,)</f>
        <v>Heliopolis</v>
      </c>
      <c r="C403" s="2">
        <v>44304</v>
      </c>
      <c r="D403" s="3">
        <v>161.60000000000002</v>
      </c>
    </row>
    <row r="404" spans="1:4" ht="14.7" hidden="1" thickBot="1" x14ac:dyDescent="0.6">
      <c r="A404" s="1" t="s">
        <v>7</v>
      </c>
      <c r="B404" t="str">
        <f>VLOOKUP(A404,'Area Breakdown'!$B$1:$C$33,2,)</f>
        <v>October</v>
      </c>
      <c r="C404" s="2">
        <v>44304</v>
      </c>
      <c r="D404" s="3">
        <v>90</v>
      </c>
    </row>
    <row r="405" spans="1:4" ht="14.7" hidden="1" thickBot="1" x14ac:dyDescent="0.6">
      <c r="A405" s="1" t="s">
        <v>11</v>
      </c>
      <c r="B405" t="str">
        <f>VLOOKUP(A405,'Area Breakdown'!$B$1:$C$33,2,)</f>
        <v>New Cairo</v>
      </c>
      <c r="C405" s="2">
        <v>44304</v>
      </c>
      <c r="D405" s="3">
        <v>36.800000000000004</v>
      </c>
    </row>
    <row r="406" spans="1:4" ht="14.7" hidden="1" thickBot="1" x14ac:dyDescent="0.6">
      <c r="A406" s="1" t="s">
        <v>15</v>
      </c>
      <c r="B406" t="str">
        <f>VLOOKUP(A406,'Area Breakdown'!$B$1:$C$33,2,)</f>
        <v>Heliopolis</v>
      </c>
      <c r="C406" s="2">
        <v>44304</v>
      </c>
      <c r="D406" s="3">
        <v>10.4</v>
      </c>
    </row>
    <row r="407" spans="1:4" ht="14.7" hidden="1" thickBot="1" x14ac:dyDescent="0.6">
      <c r="A407" s="1" t="s">
        <v>21</v>
      </c>
      <c r="B407" t="str">
        <f>VLOOKUP(A407,'Area Breakdown'!$B$1:$C$33,2,)</f>
        <v>Heliopolis</v>
      </c>
      <c r="C407" s="2">
        <v>44305</v>
      </c>
      <c r="D407" s="3">
        <v>590</v>
      </c>
    </row>
    <row r="408" spans="1:4" ht="14.7" hidden="1" thickBot="1" x14ac:dyDescent="0.6">
      <c r="A408" s="1" t="s">
        <v>25</v>
      </c>
      <c r="B408" t="str">
        <f>VLOOKUP(A408,'Area Breakdown'!$B$1:$C$33,2,)</f>
        <v>October</v>
      </c>
      <c r="C408" s="2">
        <v>44305</v>
      </c>
      <c r="D408" s="3">
        <v>395.6</v>
      </c>
    </row>
    <row r="409" spans="1:4" ht="14.7" hidden="1" thickBot="1" x14ac:dyDescent="0.6">
      <c r="A409" s="1" t="s">
        <v>20</v>
      </c>
      <c r="B409" t="str">
        <f>VLOOKUP(A409,'Area Breakdown'!$B$1:$C$33,2,)</f>
        <v>Downtown</v>
      </c>
      <c r="C409" s="2">
        <v>44305</v>
      </c>
      <c r="D409" s="3">
        <v>387.20000000000005</v>
      </c>
    </row>
    <row r="410" spans="1:4" ht="14.7" hidden="1" thickBot="1" x14ac:dyDescent="0.6">
      <c r="A410" s="1" t="s">
        <v>17</v>
      </c>
      <c r="B410" t="str">
        <f>VLOOKUP(A410,'Area Breakdown'!$B$1:$C$33,2,)</f>
        <v>Heliopolis</v>
      </c>
      <c r="C410" s="2">
        <v>44305</v>
      </c>
      <c r="D410" s="3">
        <v>381.6</v>
      </c>
    </row>
    <row r="411" spans="1:4" ht="14.7" hidden="1" thickBot="1" x14ac:dyDescent="0.6">
      <c r="A411" s="1" t="s">
        <v>12</v>
      </c>
      <c r="B411" t="str">
        <f>VLOOKUP(A411,'Area Breakdown'!$B$1:$C$33,2,)</f>
        <v>New Cairo</v>
      </c>
      <c r="C411" s="2">
        <v>44305</v>
      </c>
      <c r="D411" s="3">
        <v>380.8</v>
      </c>
    </row>
    <row r="412" spans="1:4" ht="14.7" hidden="1" thickBot="1" x14ac:dyDescent="0.6">
      <c r="A412" s="1" t="s">
        <v>2</v>
      </c>
      <c r="B412" t="str">
        <f>VLOOKUP(A412,'Area Breakdown'!$B$1:$C$33,2,)</f>
        <v>Downtown</v>
      </c>
      <c r="C412" s="2">
        <v>44305</v>
      </c>
      <c r="D412" s="3">
        <v>363.6</v>
      </c>
    </row>
    <row r="413" spans="1:4" ht="14.7" hidden="1" thickBot="1" x14ac:dyDescent="0.6">
      <c r="A413" s="1" t="s">
        <v>0</v>
      </c>
      <c r="B413" t="str">
        <f>VLOOKUP(A413,'Area Breakdown'!$B$1:$C$33,2,)</f>
        <v>Downtown</v>
      </c>
      <c r="C413" s="2">
        <v>44305</v>
      </c>
      <c r="D413" s="3">
        <v>362.8</v>
      </c>
    </row>
    <row r="414" spans="1:4" ht="14.7" hidden="1" thickBot="1" x14ac:dyDescent="0.6">
      <c r="A414" s="1" t="s">
        <v>22</v>
      </c>
      <c r="B414" t="str">
        <f>VLOOKUP(A414,'Area Breakdown'!$B$1:$C$33,2,)</f>
        <v>Heliopolis</v>
      </c>
      <c r="C414" s="2">
        <v>44305</v>
      </c>
      <c r="D414" s="3">
        <v>354</v>
      </c>
    </row>
    <row r="415" spans="1:4" ht="14.7" hidden="1" thickBot="1" x14ac:dyDescent="0.6">
      <c r="A415" s="1" t="s">
        <v>1</v>
      </c>
      <c r="B415" t="str">
        <f>VLOOKUP(A415,'Area Breakdown'!$B$1:$C$33,2,)</f>
        <v>Downtown</v>
      </c>
      <c r="C415" s="2">
        <v>44305</v>
      </c>
      <c r="D415" s="3">
        <v>332.8</v>
      </c>
    </row>
    <row r="416" spans="1:4" ht="14.7" hidden="1" thickBot="1" x14ac:dyDescent="0.6">
      <c r="A416" s="1" t="s">
        <v>24</v>
      </c>
      <c r="B416" t="str">
        <f>VLOOKUP(A416,'Area Breakdown'!$B$1:$C$33,2,)</f>
        <v>October</v>
      </c>
      <c r="C416" s="2">
        <v>44305</v>
      </c>
      <c r="D416" s="3">
        <v>313.60000000000002</v>
      </c>
    </row>
    <row r="417" spans="1:4" ht="14.7" hidden="1" thickBot="1" x14ac:dyDescent="0.6">
      <c r="A417" s="1" t="s">
        <v>19</v>
      </c>
      <c r="B417" t="str">
        <f>VLOOKUP(A417,'Area Breakdown'!$B$1:$C$33,2,)</f>
        <v>Downtown</v>
      </c>
      <c r="C417" s="2">
        <v>44305</v>
      </c>
      <c r="D417" s="3">
        <v>270</v>
      </c>
    </row>
    <row r="418" spans="1:4" ht="14.7" hidden="1" thickBot="1" x14ac:dyDescent="0.6">
      <c r="A418" s="1" t="s">
        <v>3</v>
      </c>
      <c r="B418" t="str">
        <f>VLOOKUP(A418,'Area Breakdown'!$B$1:$C$33,2,)</f>
        <v>Downtown</v>
      </c>
      <c r="C418" s="2">
        <v>44305</v>
      </c>
      <c r="D418" s="3">
        <v>242.4</v>
      </c>
    </row>
    <row r="419" spans="1:4" ht="14.7" hidden="1" thickBot="1" x14ac:dyDescent="0.6">
      <c r="A419" s="1" t="s">
        <v>16</v>
      </c>
      <c r="B419" t="str">
        <f>VLOOKUP(A419,'Area Breakdown'!$B$1:$C$33,2,)</f>
        <v>Downtown</v>
      </c>
      <c r="C419" s="2">
        <v>44305</v>
      </c>
      <c r="D419" s="3">
        <v>226.4</v>
      </c>
    </row>
    <row r="420" spans="1:4" ht="14.7" hidden="1" thickBot="1" x14ac:dyDescent="0.6">
      <c r="A420" s="1" t="s">
        <v>10</v>
      </c>
      <c r="B420" t="str">
        <f>VLOOKUP(A420,'Area Breakdown'!$B$1:$C$33,2,)</f>
        <v xml:space="preserve">Alexandria </v>
      </c>
      <c r="C420" s="2">
        <v>44305</v>
      </c>
      <c r="D420" s="3">
        <v>225.20000000000002</v>
      </c>
    </row>
    <row r="421" spans="1:4" ht="14.7" hidden="1" thickBot="1" x14ac:dyDescent="0.6">
      <c r="A421" s="1" t="s">
        <v>9</v>
      </c>
      <c r="B421" t="str">
        <f>VLOOKUP(A421,'Area Breakdown'!$B$1:$C$33,2,)</f>
        <v xml:space="preserve">Alexandria </v>
      </c>
      <c r="C421" s="2">
        <v>44305</v>
      </c>
      <c r="D421" s="3">
        <v>179.60000000000002</v>
      </c>
    </row>
    <row r="422" spans="1:4" ht="14.7" hidden="1" thickBot="1" x14ac:dyDescent="0.6">
      <c r="A422" s="1" t="s">
        <v>7</v>
      </c>
      <c r="B422" t="str">
        <f>VLOOKUP(A422,'Area Breakdown'!$B$1:$C$33,2,)</f>
        <v>October</v>
      </c>
      <c r="C422" s="2">
        <v>44305</v>
      </c>
      <c r="D422" s="3">
        <v>177.60000000000002</v>
      </c>
    </row>
    <row r="423" spans="1:4" ht="14.7" hidden="1" thickBot="1" x14ac:dyDescent="0.6">
      <c r="A423" s="1" t="s">
        <v>6</v>
      </c>
      <c r="B423" t="str">
        <f>VLOOKUP(A423,'Area Breakdown'!$B$1:$C$33,2,)</f>
        <v xml:space="preserve">Alexandria </v>
      </c>
      <c r="C423" s="2">
        <v>44305</v>
      </c>
      <c r="D423" s="3">
        <v>162</v>
      </c>
    </row>
    <row r="424" spans="1:4" ht="14.7" hidden="1" thickBot="1" x14ac:dyDescent="0.6">
      <c r="A424" s="1" t="s">
        <v>4</v>
      </c>
      <c r="B424" t="str">
        <f>VLOOKUP(A424,'Area Breakdown'!$B$1:$C$33,2,)</f>
        <v>Downtown</v>
      </c>
      <c r="C424" s="2">
        <v>44305</v>
      </c>
      <c r="D424" s="3">
        <v>110.80000000000001</v>
      </c>
    </row>
    <row r="425" spans="1:4" ht="14.7" hidden="1" thickBot="1" x14ac:dyDescent="0.6">
      <c r="A425" s="1" t="s">
        <v>23</v>
      </c>
      <c r="B425" t="str">
        <f>VLOOKUP(A425,'Area Breakdown'!$B$1:$C$33,2,)</f>
        <v>Heliopolis</v>
      </c>
      <c r="C425" s="2">
        <v>44305</v>
      </c>
      <c r="D425" s="3">
        <v>82</v>
      </c>
    </row>
    <row r="426" spans="1:4" ht="14.7" hidden="1" thickBot="1" x14ac:dyDescent="0.6">
      <c r="A426" s="1" t="s">
        <v>8</v>
      </c>
      <c r="B426" t="str">
        <f>VLOOKUP(A426,'Area Breakdown'!$B$1:$C$33,2,)</f>
        <v>Heliopolis</v>
      </c>
      <c r="C426" s="2">
        <v>44305</v>
      </c>
      <c r="D426" s="3">
        <v>55.6</v>
      </c>
    </row>
    <row r="427" spans="1:4" ht="14.7" hidden="1" thickBot="1" x14ac:dyDescent="0.6">
      <c r="A427" s="1" t="s">
        <v>11</v>
      </c>
      <c r="B427" t="str">
        <f>VLOOKUP(A427,'Area Breakdown'!$B$1:$C$33,2,)</f>
        <v>New Cairo</v>
      </c>
      <c r="C427" s="2">
        <v>44305</v>
      </c>
      <c r="D427" s="3">
        <v>33.6</v>
      </c>
    </row>
    <row r="428" spans="1:4" ht="14.7" hidden="1" thickBot="1" x14ac:dyDescent="0.6">
      <c r="A428" s="1" t="s">
        <v>13</v>
      </c>
      <c r="B428" t="str">
        <f>VLOOKUP(A428,'Area Breakdown'!$B$1:$C$33,2,)</f>
        <v>Heliopolis</v>
      </c>
      <c r="C428" s="2">
        <v>44305</v>
      </c>
      <c r="D428" s="3">
        <v>27.200000000000003</v>
      </c>
    </row>
    <row r="429" spans="1:4" ht="14.7" hidden="1" thickBot="1" x14ac:dyDescent="0.6">
      <c r="A429" s="1" t="s">
        <v>15</v>
      </c>
      <c r="B429" t="str">
        <f>VLOOKUP(A429,'Area Breakdown'!$B$1:$C$33,2,)</f>
        <v>Heliopolis</v>
      </c>
      <c r="C429" s="2">
        <v>44305</v>
      </c>
      <c r="D429" s="3">
        <v>20.400000000000002</v>
      </c>
    </row>
    <row r="430" spans="1:4" ht="14.7" hidden="1" thickBot="1" x14ac:dyDescent="0.6">
      <c r="A430" s="1" t="s">
        <v>22</v>
      </c>
      <c r="B430" t="str">
        <f>VLOOKUP(A430,'Area Breakdown'!$B$1:$C$33,2,)</f>
        <v>Heliopolis</v>
      </c>
      <c r="C430" s="2">
        <v>44306</v>
      </c>
      <c r="D430" s="3">
        <v>468.40000000000003</v>
      </c>
    </row>
    <row r="431" spans="1:4" ht="14.7" hidden="1" thickBot="1" x14ac:dyDescent="0.6">
      <c r="A431" s="1" t="s">
        <v>12</v>
      </c>
      <c r="B431" t="str">
        <f>VLOOKUP(A431,'Area Breakdown'!$B$1:$C$33,2,)</f>
        <v>New Cairo</v>
      </c>
      <c r="C431" s="2">
        <v>44306</v>
      </c>
      <c r="D431" s="3">
        <v>444.40000000000003</v>
      </c>
    </row>
    <row r="432" spans="1:4" ht="14.7" hidden="1" thickBot="1" x14ac:dyDescent="0.6">
      <c r="A432" s="1" t="s">
        <v>25</v>
      </c>
      <c r="B432" t="str">
        <f>VLOOKUP(A432,'Area Breakdown'!$B$1:$C$33,2,)</f>
        <v>October</v>
      </c>
      <c r="C432" s="2">
        <v>44306</v>
      </c>
      <c r="D432" s="3">
        <v>378.8</v>
      </c>
    </row>
    <row r="433" spans="1:4" ht="14.7" hidden="1" thickBot="1" x14ac:dyDescent="0.6">
      <c r="A433" s="1" t="s">
        <v>6</v>
      </c>
      <c r="B433" t="str">
        <f>VLOOKUP(A433,'Area Breakdown'!$B$1:$C$33,2,)</f>
        <v xml:space="preserve">Alexandria </v>
      </c>
      <c r="C433" s="2">
        <v>44306</v>
      </c>
      <c r="D433" s="3">
        <v>374.8</v>
      </c>
    </row>
    <row r="434" spans="1:4" ht="14.7" hidden="1" thickBot="1" x14ac:dyDescent="0.6">
      <c r="A434" s="1" t="s">
        <v>19</v>
      </c>
      <c r="B434" t="str">
        <f>VLOOKUP(A434,'Area Breakdown'!$B$1:$C$33,2,)</f>
        <v>Downtown</v>
      </c>
      <c r="C434" s="2">
        <v>44306</v>
      </c>
      <c r="D434" s="3">
        <v>354</v>
      </c>
    </row>
    <row r="435" spans="1:4" ht="14.7" hidden="1" thickBot="1" x14ac:dyDescent="0.6">
      <c r="A435" s="1" t="s">
        <v>0</v>
      </c>
      <c r="B435" t="str">
        <f>VLOOKUP(A435,'Area Breakdown'!$B$1:$C$33,2,)</f>
        <v>Downtown</v>
      </c>
      <c r="C435" s="2">
        <v>44306</v>
      </c>
      <c r="D435" s="3">
        <v>314.8</v>
      </c>
    </row>
    <row r="436" spans="1:4" ht="14.7" hidden="1" thickBot="1" x14ac:dyDescent="0.6">
      <c r="A436" s="1" t="s">
        <v>3</v>
      </c>
      <c r="B436" t="str">
        <f>VLOOKUP(A436,'Area Breakdown'!$B$1:$C$33,2,)</f>
        <v>Downtown</v>
      </c>
      <c r="C436" s="2">
        <v>44306</v>
      </c>
      <c r="D436" s="3">
        <v>286</v>
      </c>
    </row>
    <row r="437" spans="1:4" ht="14.7" hidden="1" thickBot="1" x14ac:dyDescent="0.6">
      <c r="A437" s="1" t="s">
        <v>17</v>
      </c>
      <c r="B437" t="str">
        <f>VLOOKUP(A437,'Area Breakdown'!$B$1:$C$33,2,)</f>
        <v>Heliopolis</v>
      </c>
      <c r="C437" s="2">
        <v>44306</v>
      </c>
      <c r="D437" s="3">
        <v>274.8</v>
      </c>
    </row>
    <row r="438" spans="1:4" ht="14.7" hidden="1" thickBot="1" x14ac:dyDescent="0.6">
      <c r="A438" s="1" t="s">
        <v>24</v>
      </c>
      <c r="B438" t="str">
        <f>VLOOKUP(A438,'Area Breakdown'!$B$1:$C$33,2,)</f>
        <v>October</v>
      </c>
      <c r="C438" s="2">
        <v>44306</v>
      </c>
      <c r="D438" s="3">
        <v>258.40000000000003</v>
      </c>
    </row>
    <row r="439" spans="1:4" ht="14.7" hidden="1" thickBot="1" x14ac:dyDescent="0.6">
      <c r="A439" s="1" t="s">
        <v>9</v>
      </c>
      <c r="B439" t="str">
        <f>VLOOKUP(A439,'Area Breakdown'!$B$1:$C$33,2,)</f>
        <v xml:space="preserve">Alexandria </v>
      </c>
      <c r="C439" s="2">
        <v>44306</v>
      </c>
      <c r="D439" s="3">
        <v>242.4</v>
      </c>
    </row>
    <row r="440" spans="1:4" ht="14.7" hidden="1" thickBot="1" x14ac:dyDescent="0.6">
      <c r="A440" s="1" t="s">
        <v>13</v>
      </c>
      <c r="B440" t="str">
        <f>VLOOKUP(A440,'Area Breakdown'!$B$1:$C$33,2,)</f>
        <v>Heliopolis</v>
      </c>
      <c r="C440" s="2">
        <v>44306</v>
      </c>
      <c r="D440" s="3">
        <v>238.4</v>
      </c>
    </row>
    <row r="441" spans="1:4" ht="14.7" hidden="1" thickBot="1" x14ac:dyDescent="0.6">
      <c r="A441" s="1" t="s">
        <v>20</v>
      </c>
      <c r="B441" t="str">
        <f>VLOOKUP(A441,'Area Breakdown'!$B$1:$C$33,2,)</f>
        <v>Downtown</v>
      </c>
      <c r="C441" s="2">
        <v>44306</v>
      </c>
      <c r="D441" s="3">
        <v>235.20000000000002</v>
      </c>
    </row>
    <row r="442" spans="1:4" ht="14.7" hidden="1" thickBot="1" x14ac:dyDescent="0.6">
      <c r="A442" s="1" t="s">
        <v>21</v>
      </c>
      <c r="B442" t="str">
        <f>VLOOKUP(A442,'Area Breakdown'!$B$1:$C$33,2,)</f>
        <v>Heliopolis</v>
      </c>
      <c r="C442" s="2">
        <v>44306</v>
      </c>
      <c r="D442" s="3">
        <v>194.8</v>
      </c>
    </row>
    <row r="443" spans="1:4" ht="14.7" hidden="1" thickBot="1" x14ac:dyDescent="0.6">
      <c r="A443" s="1" t="s">
        <v>4</v>
      </c>
      <c r="B443" t="str">
        <f>VLOOKUP(A443,'Area Breakdown'!$B$1:$C$33,2,)</f>
        <v>Downtown</v>
      </c>
      <c r="C443" s="2">
        <v>44306</v>
      </c>
      <c r="D443" s="3">
        <v>174.4</v>
      </c>
    </row>
    <row r="444" spans="1:4" ht="14.7" hidden="1" thickBot="1" x14ac:dyDescent="0.6">
      <c r="A444" s="1" t="s">
        <v>1</v>
      </c>
      <c r="B444" t="str">
        <f>VLOOKUP(A444,'Area Breakdown'!$B$1:$C$33,2,)</f>
        <v>Downtown</v>
      </c>
      <c r="C444" s="2">
        <v>44306</v>
      </c>
      <c r="D444" s="3">
        <v>172</v>
      </c>
    </row>
    <row r="445" spans="1:4" ht="14.7" hidden="1" thickBot="1" x14ac:dyDescent="0.6">
      <c r="A445" s="1" t="s">
        <v>16</v>
      </c>
      <c r="B445" t="str">
        <f>VLOOKUP(A445,'Area Breakdown'!$B$1:$C$33,2,)</f>
        <v>Downtown</v>
      </c>
      <c r="C445" s="2">
        <v>44306</v>
      </c>
      <c r="D445" s="3">
        <v>167.20000000000002</v>
      </c>
    </row>
    <row r="446" spans="1:4" ht="14.7" hidden="1" thickBot="1" x14ac:dyDescent="0.6">
      <c r="A446" s="1" t="s">
        <v>11</v>
      </c>
      <c r="B446" t="str">
        <f>VLOOKUP(A446,'Area Breakdown'!$B$1:$C$33,2,)</f>
        <v>New Cairo</v>
      </c>
      <c r="C446" s="2">
        <v>44306</v>
      </c>
      <c r="D446" s="3">
        <v>134.80000000000001</v>
      </c>
    </row>
    <row r="447" spans="1:4" ht="14.7" hidden="1" thickBot="1" x14ac:dyDescent="0.6">
      <c r="A447" s="1" t="s">
        <v>23</v>
      </c>
      <c r="B447" t="str">
        <f>VLOOKUP(A447,'Area Breakdown'!$B$1:$C$33,2,)</f>
        <v>Heliopolis</v>
      </c>
      <c r="C447" s="2">
        <v>44306</v>
      </c>
      <c r="D447" s="3">
        <v>124.4</v>
      </c>
    </row>
    <row r="448" spans="1:4" ht="14.7" hidden="1" thickBot="1" x14ac:dyDescent="0.6">
      <c r="A448" s="1" t="s">
        <v>10</v>
      </c>
      <c r="B448" t="str">
        <f>VLOOKUP(A448,'Area Breakdown'!$B$1:$C$33,2,)</f>
        <v xml:space="preserve">Alexandria </v>
      </c>
      <c r="C448" s="2">
        <v>44306</v>
      </c>
      <c r="D448" s="3">
        <v>110</v>
      </c>
    </row>
    <row r="449" spans="1:4" ht="14.7" hidden="1" thickBot="1" x14ac:dyDescent="0.6">
      <c r="A449" s="1" t="s">
        <v>8</v>
      </c>
      <c r="B449" t="str">
        <f>VLOOKUP(A449,'Area Breakdown'!$B$1:$C$33,2,)</f>
        <v>Heliopolis</v>
      </c>
      <c r="C449" s="2">
        <v>44306</v>
      </c>
      <c r="D449" s="3">
        <v>85.600000000000009</v>
      </c>
    </row>
    <row r="450" spans="1:4" ht="14.7" hidden="1" thickBot="1" x14ac:dyDescent="0.6">
      <c r="A450" s="1" t="s">
        <v>7</v>
      </c>
      <c r="B450" t="str">
        <f>VLOOKUP(A450,'Area Breakdown'!$B$1:$C$33,2,)</f>
        <v>October</v>
      </c>
      <c r="C450" s="2">
        <v>44306</v>
      </c>
      <c r="D450" s="3">
        <v>31.6</v>
      </c>
    </row>
    <row r="451" spans="1:4" ht="14.7" hidden="1" thickBot="1" x14ac:dyDescent="0.6">
      <c r="A451" s="1" t="s">
        <v>25</v>
      </c>
      <c r="B451" t="str">
        <f>VLOOKUP(A451,'Area Breakdown'!$B$1:$C$33,2,)</f>
        <v>October</v>
      </c>
      <c r="C451" s="2">
        <v>44307</v>
      </c>
      <c r="D451" s="3">
        <v>718.40000000000009</v>
      </c>
    </row>
    <row r="452" spans="1:4" ht="14.7" hidden="1" thickBot="1" x14ac:dyDescent="0.6">
      <c r="A452" s="1" t="s">
        <v>12</v>
      </c>
      <c r="B452" t="str">
        <f>VLOOKUP(A452,'Area Breakdown'!$B$1:$C$33,2,)</f>
        <v>New Cairo</v>
      </c>
      <c r="C452" s="2">
        <v>44307</v>
      </c>
      <c r="D452" s="3">
        <v>620.80000000000007</v>
      </c>
    </row>
    <row r="453" spans="1:4" ht="14.7" hidden="1" thickBot="1" x14ac:dyDescent="0.6">
      <c r="A453" s="1" t="s">
        <v>0</v>
      </c>
      <c r="B453" t="str">
        <f>VLOOKUP(A453,'Area Breakdown'!$B$1:$C$33,2,)</f>
        <v>Downtown</v>
      </c>
      <c r="C453" s="2">
        <v>44307</v>
      </c>
      <c r="D453" s="3">
        <v>488.8</v>
      </c>
    </row>
    <row r="454" spans="1:4" ht="14.7" hidden="1" thickBot="1" x14ac:dyDescent="0.6">
      <c r="A454" s="1" t="s">
        <v>22</v>
      </c>
      <c r="B454" t="str">
        <f>VLOOKUP(A454,'Area Breakdown'!$B$1:$C$33,2,)</f>
        <v>Heliopolis</v>
      </c>
      <c r="C454" s="2">
        <v>44307</v>
      </c>
      <c r="D454" s="3">
        <v>465.20000000000005</v>
      </c>
    </row>
    <row r="455" spans="1:4" ht="14.7" hidden="1" thickBot="1" x14ac:dyDescent="0.6">
      <c r="A455" s="1" t="s">
        <v>24</v>
      </c>
      <c r="B455" t="str">
        <f>VLOOKUP(A455,'Area Breakdown'!$B$1:$C$33,2,)</f>
        <v>October</v>
      </c>
      <c r="C455" s="2">
        <v>44307</v>
      </c>
      <c r="D455" s="3">
        <v>370.40000000000003</v>
      </c>
    </row>
    <row r="456" spans="1:4" ht="14.7" hidden="1" thickBot="1" x14ac:dyDescent="0.6">
      <c r="A456" s="1" t="s">
        <v>19</v>
      </c>
      <c r="B456" t="str">
        <f>VLOOKUP(A456,'Area Breakdown'!$B$1:$C$33,2,)</f>
        <v>Downtown</v>
      </c>
      <c r="C456" s="2">
        <v>44307</v>
      </c>
      <c r="D456" s="3">
        <v>277.2</v>
      </c>
    </row>
    <row r="457" spans="1:4" ht="14.7" hidden="1" thickBot="1" x14ac:dyDescent="0.6">
      <c r="A457" s="1" t="s">
        <v>17</v>
      </c>
      <c r="B457" t="str">
        <f>VLOOKUP(A457,'Area Breakdown'!$B$1:$C$33,2,)</f>
        <v>Heliopolis</v>
      </c>
      <c r="C457" s="2">
        <v>44307</v>
      </c>
      <c r="D457" s="3">
        <v>270</v>
      </c>
    </row>
    <row r="458" spans="1:4" ht="14.7" hidden="1" thickBot="1" x14ac:dyDescent="0.6">
      <c r="A458" s="1" t="s">
        <v>9</v>
      </c>
      <c r="B458" t="str">
        <f>VLOOKUP(A458,'Area Breakdown'!$B$1:$C$33,2,)</f>
        <v xml:space="preserve">Alexandria </v>
      </c>
      <c r="C458" s="2">
        <v>44307</v>
      </c>
      <c r="D458" s="3">
        <v>270</v>
      </c>
    </row>
    <row r="459" spans="1:4" ht="14.7" hidden="1" thickBot="1" x14ac:dyDescent="0.6">
      <c r="A459" s="1" t="s">
        <v>10</v>
      </c>
      <c r="B459" t="str">
        <f>VLOOKUP(A459,'Area Breakdown'!$B$1:$C$33,2,)</f>
        <v xml:space="preserve">Alexandria </v>
      </c>
      <c r="C459" s="2">
        <v>44307</v>
      </c>
      <c r="D459" s="3">
        <v>265.2</v>
      </c>
    </row>
    <row r="460" spans="1:4" ht="14.7" hidden="1" thickBot="1" x14ac:dyDescent="0.6">
      <c r="A460" s="1" t="s">
        <v>20</v>
      </c>
      <c r="B460" t="str">
        <f>VLOOKUP(A460,'Area Breakdown'!$B$1:$C$33,2,)</f>
        <v>Downtown</v>
      </c>
      <c r="C460" s="2">
        <v>44307</v>
      </c>
      <c r="D460" s="3">
        <v>262.8</v>
      </c>
    </row>
    <row r="461" spans="1:4" ht="14.7" hidden="1" thickBot="1" x14ac:dyDescent="0.6">
      <c r="A461" s="1" t="s">
        <v>21</v>
      </c>
      <c r="B461" t="str">
        <f>VLOOKUP(A461,'Area Breakdown'!$B$1:$C$33,2,)</f>
        <v>Heliopolis</v>
      </c>
      <c r="C461" s="2">
        <v>44307</v>
      </c>
      <c r="D461" s="3">
        <v>259.2</v>
      </c>
    </row>
    <row r="462" spans="1:4" ht="14.7" hidden="1" thickBot="1" x14ac:dyDescent="0.6">
      <c r="A462" s="1" t="s">
        <v>6</v>
      </c>
      <c r="B462" t="str">
        <f>VLOOKUP(A462,'Area Breakdown'!$B$1:$C$33,2,)</f>
        <v xml:space="preserve">Alexandria </v>
      </c>
      <c r="C462" s="2">
        <v>44307</v>
      </c>
      <c r="D462" s="3">
        <v>233.60000000000002</v>
      </c>
    </row>
    <row r="463" spans="1:4" ht="14.7" hidden="1" thickBot="1" x14ac:dyDescent="0.6">
      <c r="A463" s="1" t="s">
        <v>23</v>
      </c>
      <c r="B463" t="str">
        <f>VLOOKUP(A463,'Area Breakdown'!$B$1:$C$33,2,)</f>
        <v>Heliopolis</v>
      </c>
      <c r="C463" s="2">
        <v>44307</v>
      </c>
      <c r="D463" s="3">
        <v>183.20000000000002</v>
      </c>
    </row>
    <row r="464" spans="1:4" ht="14.7" hidden="1" thickBot="1" x14ac:dyDescent="0.6">
      <c r="A464" s="1" t="s">
        <v>13</v>
      </c>
      <c r="B464" t="str">
        <f>VLOOKUP(A464,'Area Breakdown'!$B$1:$C$33,2,)</f>
        <v>Heliopolis</v>
      </c>
      <c r="C464" s="2">
        <v>44307</v>
      </c>
      <c r="D464" s="3">
        <v>151.20000000000002</v>
      </c>
    </row>
    <row r="465" spans="1:4" ht="14.7" hidden="1" thickBot="1" x14ac:dyDescent="0.6">
      <c r="A465" s="1" t="s">
        <v>3</v>
      </c>
      <c r="B465" t="str">
        <f>VLOOKUP(A465,'Area Breakdown'!$B$1:$C$33,2,)</f>
        <v>Downtown</v>
      </c>
      <c r="C465" s="2">
        <v>44307</v>
      </c>
      <c r="D465" s="3">
        <v>150</v>
      </c>
    </row>
    <row r="466" spans="1:4" ht="14.7" hidden="1" thickBot="1" x14ac:dyDescent="0.6">
      <c r="A466" s="1" t="s">
        <v>8</v>
      </c>
      <c r="B466" t="str">
        <f>VLOOKUP(A466,'Area Breakdown'!$B$1:$C$33,2,)</f>
        <v>Heliopolis</v>
      </c>
      <c r="C466" s="2">
        <v>44307</v>
      </c>
      <c r="D466" s="3">
        <v>144.4</v>
      </c>
    </row>
    <row r="467" spans="1:4" ht="14.7" hidden="1" thickBot="1" x14ac:dyDescent="0.6">
      <c r="A467" s="1" t="s">
        <v>16</v>
      </c>
      <c r="B467" t="str">
        <f>VLOOKUP(A467,'Area Breakdown'!$B$1:$C$33,2,)</f>
        <v>Downtown</v>
      </c>
      <c r="C467" s="2">
        <v>44307</v>
      </c>
      <c r="D467" s="3">
        <v>140</v>
      </c>
    </row>
    <row r="468" spans="1:4" ht="14.7" hidden="1" thickBot="1" x14ac:dyDescent="0.6">
      <c r="A468" s="1" t="s">
        <v>1</v>
      </c>
      <c r="B468" t="str">
        <f>VLOOKUP(A468,'Area Breakdown'!$B$1:$C$33,2,)</f>
        <v>Downtown</v>
      </c>
      <c r="C468" s="2">
        <v>44307</v>
      </c>
      <c r="D468" s="3">
        <v>104.4</v>
      </c>
    </row>
    <row r="469" spans="1:4" ht="14.7" hidden="1" thickBot="1" x14ac:dyDescent="0.6">
      <c r="A469" s="1" t="s">
        <v>11</v>
      </c>
      <c r="B469" t="str">
        <f>VLOOKUP(A469,'Area Breakdown'!$B$1:$C$33,2,)</f>
        <v>New Cairo</v>
      </c>
      <c r="C469" s="2">
        <v>44307</v>
      </c>
      <c r="D469" s="3">
        <v>69.2</v>
      </c>
    </row>
    <row r="470" spans="1:4" ht="14.7" hidden="1" thickBot="1" x14ac:dyDescent="0.6">
      <c r="A470" s="1" t="s">
        <v>4</v>
      </c>
      <c r="B470" t="str">
        <f>VLOOKUP(A470,'Area Breakdown'!$B$1:$C$33,2,)</f>
        <v>Downtown</v>
      </c>
      <c r="C470" s="2">
        <v>44307</v>
      </c>
      <c r="D470" s="3">
        <v>52.800000000000004</v>
      </c>
    </row>
    <row r="471" spans="1:4" ht="14.7" hidden="1" thickBot="1" x14ac:dyDescent="0.6">
      <c r="A471" s="1" t="s">
        <v>7</v>
      </c>
      <c r="B471" t="str">
        <f>VLOOKUP(A471,'Area Breakdown'!$B$1:$C$33,2,)</f>
        <v>October</v>
      </c>
      <c r="C471" s="2">
        <v>44307</v>
      </c>
      <c r="D471" s="3">
        <v>38.400000000000006</v>
      </c>
    </row>
    <row r="472" spans="1:4" ht="14.7" hidden="1" thickBot="1" x14ac:dyDescent="0.6">
      <c r="A472" s="1" t="s">
        <v>15</v>
      </c>
      <c r="B472" t="str">
        <f>VLOOKUP(A472,'Area Breakdown'!$B$1:$C$33,2,)</f>
        <v>Heliopolis</v>
      </c>
      <c r="C472" s="2">
        <v>44307</v>
      </c>
      <c r="D472" s="3">
        <v>30</v>
      </c>
    </row>
    <row r="473" spans="1:4" ht="14.7" hidden="1" thickBot="1" x14ac:dyDescent="0.6">
      <c r="A473" s="1" t="s">
        <v>12</v>
      </c>
      <c r="B473" t="str">
        <f>VLOOKUP(A473,'Area Breakdown'!$B$1:$C$33,2,)</f>
        <v>New Cairo</v>
      </c>
      <c r="C473" s="2">
        <v>44308</v>
      </c>
      <c r="D473" s="3">
        <v>552.4</v>
      </c>
    </row>
    <row r="474" spans="1:4" ht="14.7" hidden="1" thickBot="1" x14ac:dyDescent="0.6">
      <c r="A474" s="1" t="s">
        <v>0</v>
      </c>
      <c r="B474" t="str">
        <f>VLOOKUP(A474,'Area Breakdown'!$B$1:$C$33,2,)</f>
        <v>Downtown</v>
      </c>
      <c r="C474" s="2">
        <v>44308</v>
      </c>
      <c r="D474" s="3">
        <v>442.40000000000003</v>
      </c>
    </row>
    <row r="475" spans="1:4" ht="14.7" hidden="1" thickBot="1" x14ac:dyDescent="0.6">
      <c r="A475" s="1" t="s">
        <v>22</v>
      </c>
      <c r="B475" t="str">
        <f>VLOOKUP(A475,'Area Breakdown'!$B$1:$C$33,2,)</f>
        <v>Heliopolis</v>
      </c>
      <c r="C475" s="2">
        <v>44308</v>
      </c>
      <c r="D475" s="3">
        <v>419.6</v>
      </c>
    </row>
    <row r="476" spans="1:4" ht="14.7" hidden="1" thickBot="1" x14ac:dyDescent="0.6">
      <c r="A476" s="1" t="s">
        <v>19</v>
      </c>
      <c r="B476" t="str">
        <f>VLOOKUP(A476,'Area Breakdown'!$B$1:$C$33,2,)</f>
        <v>Downtown</v>
      </c>
      <c r="C476" s="2">
        <v>44308</v>
      </c>
      <c r="D476" s="3">
        <v>415.6</v>
      </c>
    </row>
    <row r="477" spans="1:4" ht="14.7" hidden="1" thickBot="1" x14ac:dyDescent="0.6">
      <c r="A477" s="1" t="s">
        <v>25</v>
      </c>
      <c r="B477" t="str">
        <f>VLOOKUP(A477,'Area Breakdown'!$B$1:$C$33,2,)</f>
        <v>October</v>
      </c>
      <c r="C477" s="2">
        <v>44308</v>
      </c>
      <c r="D477" s="3">
        <v>401.20000000000005</v>
      </c>
    </row>
    <row r="478" spans="1:4" ht="14.7" hidden="1" thickBot="1" x14ac:dyDescent="0.6">
      <c r="A478" s="1" t="s">
        <v>6</v>
      </c>
      <c r="B478" t="str">
        <f>VLOOKUP(A478,'Area Breakdown'!$B$1:$C$33,2,)</f>
        <v xml:space="preserve">Alexandria </v>
      </c>
      <c r="C478" s="2">
        <v>44308</v>
      </c>
      <c r="D478" s="3">
        <v>369.20000000000005</v>
      </c>
    </row>
    <row r="479" spans="1:4" ht="14.7" hidden="1" thickBot="1" x14ac:dyDescent="0.6">
      <c r="A479" s="1" t="s">
        <v>20</v>
      </c>
      <c r="B479" t="str">
        <f>VLOOKUP(A479,'Area Breakdown'!$B$1:$C$33,2,)</f>
        <v>Downtown</v>
      </c>
      <c r="C479" s="2">
        <v>44308</v>
      </c>
      <c r="D479" s="3">
        <v>309.60000000000002</v>
      </c>
    </row>
    <row r="480" spans="1:4" ht="14.7" hidden="1" thickBot="1" x14ac:dyDescent="0.6">
      <c r="A480" s="1" t="s">
        <v>17</v>
      </c>
      <c r="B480" t="str">
        <f>VLOOKUP(A480,'Area Breakdown'!$B$1:$C$33,2,)</f>
        <v>Heliopolis</v>
      </c>
      <c r="C480" s="2">
        <v>44308</v>
      </c>
      <c r="D480" s="3">
        <v>275.60000000000002</v>
      </c>
    </row>
    <row r="481" spans="1:4" ht="14.7" hidden="1" thickBot="1" x14ac:dyDescent="0.6">
      <c r="A481" s="1" t="s">
        <v>2</v>
      </c>
      <c r="B481" t="str">
        <f>VLOOKUP(A481,'Area Breakdown'!$B$1:$C$33,2,)</f>
        <v>Downtown</v>
      </c>
      <c r="C481" s="2">
        <v>44308</v>
      </c>
      <c r="D481" s="3">
        <v>270</v>
      </c>
    </row>
    <row r="482" spans="1:4" ht="14.7" hidden="1" thickBot="1" x14ac:dyDescent="0.6">
      <c r="A482" s="1" t="s">
        <v>10</v>
      </c>
      <c r="B482" t="str">
        <f>VLOOKUP(A482,'Area Breakdown'!$B$1:$C$33,2,)</f>
        <v xml:space="preserve">Alexandria </v>
      </c>
      <c r="C482" s="2">
        <v>44308</v>
      </c>
      <c r="D482" s="3">
        <v>250</v>
      </c>
    </row>
    <row r="483" spans="1:4" ht="14.7" hidden="1" thickBot="1" x14ac:dyDescent="0.6">
      <c r="A483" s="1" t="s">
        <v>9</v>
      </c>
      <c r="B483" t="str">
        <f>VLOOKUP(A483,'Area Breakdown'!$B$1:$C$33,2,)</f>
        <v xml:space="preserve">Alexandria </v>
      </c>
      <c r="C483" s="2">
        <v>44308</v>
      </c>
      <c r="D483" s="3">
        <v>240</v>
      </c>
    </row>
    <row r="484" spans="1:4" ht="14.7" hidden="1" thickBot="1" x14ac:dyDescent="0.6">
      <c r="A484" s="1" t="s">
        <v>3</v>
      </c>
      <c r="B484" t="str">
        <f>VLOOKUP(A484,'Area Breakdown'!$B$1:$C$33,2,)</f>
        <v>Downtown</v>
      </c>
      <c r="C484" s="2">
        <v>44308</v>
      </c>
      <c r="D484" s="3">
        <v>238</v>
      </c>
    </row>
    <row r="485" spans="1:4" ht="14.7" hidden="1" thickBot="1" x14ac:dyDescent="0.6">
      <c r="A485" s="1" t="s">
        <v>21</v>
      </c>
      <c r="B485" t="str">
        <f>VLOOKUP(A485,'Area Breakdown'!$B$1:$C$33,2,)</f>
        <v>Heliopolis</v>
      </c>
      <c r="C485" s="2">
        <v>44308</v>
      </c>
      <c r="D485" s="3">
        <v>224.4</v>
      </c>
    </row>
    <row r="486" spans="1:4" ht="14.7" hidden="1" thickBot="1" x14ac:dyDescent="0.6">
      <c r="A486" s="1" t="s">
        <v>13</v>
      </c>
      <c r="B486" t="str">
        <f>VLOOKUP(A486,'Area Breakdown'!$B$1:$C$33,2,)</f>
        <v>Heliopolis</v>
      </c>
      <c r="C486" s="2">
        <v>44308</v>
      </c>
      <c r="D486" s="3">
        <v>223.60000000000002</v>
      </c>
    </row>
    <row r="487" spans="1:4" ht="14.7" hidden="1" thickBot="1" x14ac:dyDescent="0.6">
      <c r="A487" s="1" t="s">
        <v>24</v>
      </c>
      <c r="B487" t="str">
        <f>VLOOKUP(A487,'Area Breakdown'!$B$1:$C$33,2,)</f>
        <v>October</v>
      </c>
      <c r="C487" s="2">
        <v>44308</v>
      </c>
      <c r="D487" s="3">
        <v>218</v>
      </c>
    </row>
    <row r="488" spans="1:4" ht="14.7" hidden="1" thickBot="1" x14ac:dyDescent="0.6">
      <c r="A488" s="1" t="s">
        <v>16</v>
      </c>
      <c r="B488" t="str">
        <f>VLOOKUP(A488,'Area Breakdown'!$B$1:$C$33,2,)</f>
        <v>Downtown</v>
      </c>
      <c r="C488" s="2">
        <v>44308</v>
      </c>
      <c r="D488" s="3">
        <v>212.8</v>
      </c>
    </row>
    <row r="489" spans="1:4" ht="14.7" hidden="1" thickBot="1" x14ac:dyDescent="0.6">
      <c r="A489" s="1" t="s">
        <v>1</v>
      </c>
      <c r="B489" t="str">
        <f>VLOOKUP(A489,'Area Breakdown'!$B$1:$C$33,2,)</f>
        <v>Downtown</v>
      </c>
      <c r="C489" s="2">
        <v>44308</v>
      </c>
      <c r="D489" s="3">
        <v>184</v>
      </c>
    </row>
    <row r="490" spans="1:4" ht="14.7" hidden="1" thickBot="1" x14ac:dyDescent="0.6">
      <c r="A490" s="1" t="s">
        <v>23</v>
      </c>
      <c r="B490" t="str">
        <f>VLOOKUP(A490,'Area Breakdown'!$B$1:$C$33,2,)</f>
        <v>Heliopolis</v>
      </c>
      <c r="C490" s="2">
        <v>44308</v>
      </c>
      <c r="D490" s="3">
        <v>141.6</v>
      </c>
    </row>
    <row r="491" spans="1:4" ht="14.7" hidden="1" thickBot="1" x14ac:dyDescent="0.6">
      <c r="A491" s="1" t="s">
        <v>11</v>
      </c>
      <c r="B491" t="str">
        <f>VLOOKUP(A491,'Area Breakdown'!$B$1:$C$33,2,)</f>
        <v>New Cairo</v>
      </c>
      <c r="C491" s="2">
        <v>44308</v>
      </c>
      <c r="D491" s="3">
        <v>139.6</v>
      </c>
    </row>
    <row r="492" spans="1:4" ht="14.7" hidden="1" thickBot="1" x14ac:dyDescent="0.6">
      <c r="A492" s="1" t="s">
        <v>8</v>
      </c>
      <c r="B492" t="str">
        <f>VLOOKUP(A492,'Area Breakdown'!$B$1:$C$33,2,)</f>
        <v>Heliopolis</v>
      </c>
      <c r="C492" s="2">
        <v>44308</v>
      </c>
      <c r="D492" s="3">
        <v>108.4</v>
      </c>
    </row>
    <row r="493" spans="1:4" ht="14.7" hidden="1" thickBot="1" x14ac:dyDescent="0.6">
      <c r="A493" s="1" t="s">
        <v>4</v>
      </c>
      <c r="B493" t="str">
        <f>VLOOKUP(A493,'Area Breakdown'!$B$1:$C$33,2,)</f>
        <v>Downtown</v>
      </c>
      <c r="C493" s="2">
        <v>44308</v>
      </c>
      <c r="D493" s="3">
        <v>94</v>
      </c>
    </row>
    <row r="494" spans="1:4" ht="14.7" hidden="1" thickBot="1" x14ac:dyDescent="0.6">
      <c r="A494" s="1" t="s">
        <v>15</v>
      </c>
      <c r="B494" t="str">
        <f>VLOOKUP(A494,'Area Breakdown'!$B$1:$C$33,2,)</f>
        <v>Heliopolis</v>
      </c>
      <c r="C494" s="2">
        <v>44308</v>
      </c>
      <c r="D494" s="3">
        <v>65.600000000000009</v>
      </c>
    </row>
    <row r="495" spans="1:4" ht="14.7" hidden="1" thickBot="1" x14ac:dyDescent="0.6">
      <c r="A495" s="1" t="s">
        <v>27</v>
      </c>
      <c r="B495" t="str">
        <f>VLOOKUP(A495,'Area Breakdown'!$B$1:$C$33,2,)</f>
        <v xml:space="preserve">Alexandria </v>
      </c>
      <c r="C495" s="2">
        <v>44308</v>
      </c>
      <c r="D495" s="3">
        <v>51.2</v>
      </c>
    </row>
    <row r="496" spans="1:4" ht="14.7" hidden="1" thickBot="1" x14ac:dyDescent="0.6">
      <c r="A496" s="1" t="s">
        <v>19</v>
      </c>
      <c r="B496" t="str">
        <f>VLOOKUP(A496,'Area Breakdown'!$B$1:$C$33,2,)</f>
        <v>Downtown</v>
      </c>
      <c r="C496" s="2">
        <v>44309</v>
      </c>
      <c r="D496" s="3">
        <v>460</v>
      </c>
    </row>
    <row r="497" spans="1:4" ht="14.7" hidden="1" thickBot="1" x14ac:dyDescent="0.6">
      <c r="A497" s="1" t="s">
        <v>12</v>
      </c>
      <c r="B497" t="str">
        <f>VLOOKUP(A497,'Area Breakdown'!$B$1:$C$33,2,)</f>
        <v>New Cairo</v>
      </c>
      <c r="C497" s="2">
        <v>44309</v>
      </c>
      <c r="D497" s="3">
        <v>451.20000000000005</v>
      </c>
    </row>
    <row r="498" spans="1:4" ht="14.7" hidden="1" thickBot="1" x14ac:dyDescent="0.6">
      <c r="A498" s="1" t="s">
        <v>17</v>
      </c>
      <c r="B498" t="str">
        <f>VLOOKUP(A498,'Area Breakdown'!$B$1:$C$33,2,)</f>
        <v>Heliopolis</v>
      </c>
      <c r="C498" s="2">
        <v>44309</v>
      </c>
      <c r="D498" s="3">
        <v>449.6</v>
      </c>
    </row>
    <row r="499" spans="1:4" ht="14.7" hidden="1" thickBot="1" x14ac:dyDescent="0.6">
      <c r="A499" s="1" t="s">
        <v>25</v>
      </c>
      <c r="B499" t="str">
        <f>VLOOKUP(A499,'Area Breakdown'!$B$1:$C$33,2,)</f>
        <v>October</v>
      </c>
      <c r="C499" s="2">
        <v>44309</v>
      </c>
      <c r="D499" s="3">
        <v>428.40000000000003</v>
      </c>
    </row>
    <row r="500" spans="1:4" ht="14.7" hidden="1" thickBot="1" x14ac:dyDescent="0.6">
      <c r="A500" s="1" t="s">
        <v>23</v>
      </c>
      <c r="B500" t="str">
        <f>VLOOKUP(A500,'Area Breakdown'!$B$1:$C$33,2,)</f>
        <v>Heliopolis</v>
      </c>
      <c r="C500" s="2">
        <v>44309</v>
      </c>
      <c r="D500" s="3">
        <v>350.40000000000003</v>
      </c>
    </row>
    <row r="501" spans="1:4" ht="14.7" hidden="1" thickBot="1" x14ac:dyDescent="0.6">
      <c r="A501" s="1" t="s">
        <v>22</v>
      </c>
      <c r="B501" t="str">
        <f>VLOOKUP(A501,'Area Breakdown'!$B$1:$C$33,2,)</f>
        <v>Heliopolis</v>
      </c>
      <c r="C501" s="2">
        <v>44309</v>
      </c>
      <c r="D501" s="3">
        <v>336.40000000000003</v>
      </c>
    </row>
    <row r="502" spans="1:4" ht="14.7" hidden="1" thickBot="1" x14ac:dyDescent="0.6">
      <c r="A502" s="1" t="s">
        <v>3</v>
      </c>
      <c r="B502" t="str">
        <f>VLOOKUP(A502,'Area Breakdown'!$B$1:$C$33,2,)</f>
        <v>Downtown</v>
      </c>
      <c r="C502" s="2">
        <v>44309</v>
      </c>
      <c r="D502" s="3">
        <v>334</v>
      </c>
    </row>
    <row r="503" spans="1:4" ht="14.7" hidden="1" thickBot="1" x14ac:dyDescent="0.6">
      <c r="A503" s="1" t="s">
        <v>20</v>
      </c>
      <c r="B503" t="str">
        <f>VLOOKUP(A503,'Area Breakdown'!$B$1:$C$33,2,)</f>
        <v>Downtown</v>
      </c>
      <c r="C503" s="2">
        <v>44309</v>
      </c>
      <c r="D503" s="3">
        <v>324</v>
      </c>
    </row>
    <row r="504" spans="1:4" ht="14.7" hidden="1" thickBot="1" x14ac:dyDescent="0.6">
      <c r="A504" s="1" t="s">
        <v>27</v>
      </c>
      <c r="B504" t="str">
        <f>VLOOKUP(A504,'Area Breakdown'!$B$1:$C$33,2,)</f>
        <v xml:space="preserve">Alexandria </v>
      </c>
      <c r="C504" s="2">
        <v>44309</v>
      </c>
      <c r="D504" s="3">
        <v>321.20000000000005</v>
      </c>
    </row>
    <row r="505" spans="1:4" ht="14.7" hidden="1" thickBot="1" x14ac:dyDescent="0.6">
      <c r="A505" s="1" t="s">
        <v>6</v>
      </c>
      <c r="B505" t="str">
        <f>VLOOKUP(A505,'Area Breakdown'!$B$1:$C$33,2,)</f>
        <v xml:space="preserve">Alexandria </v>
      </c>
      <c r="C505" s="2">
        <v>44309</v>
      </c>
      <c r="D505" s="3">
        <v>301.60000000000002</v>
      </c>
    </row>
    <row r="506" spans="1:4" ht="14.7" hidden="1" thickBot="1" x14ac:dyDescent="0.6">
      <c r="A506" s="1" t="s">
        <v>0</v>
      </c>
      <c r="B506" t="str">
        <f>VLOOKUP(A506,'Area Breakdown'!$B$1:$C$33,2,)</f>
        <v>Downtown</v>
      </c>
      <c r="C506" s="2">
        <v>44309</v>
      </c>
      <c r="D506" s="3">
        <v>272.8</v>
      </c>
    </row>
    <row r="507" spans="1:4" ht="14.7" hidden="1" thickBot="1" x14ac:dyDescent="0.6">
      <c r="A507" s="1" t="s">
        <v>10</v>
      </c>
      <c r="B507" t="str">
        <f>VLOOKUP(A507,'Area Breakdown'!$B$1:$C$33,2,)</f>
        <v xml:space="preserve">Alexandria </v>
      </c>
      <c r="C507" s="2">
        <v>44309</v>
      </c>
      <c r="D507" s="3">
        <v>228.8</v>
      </c>
    </row>
    <row r="508" spans="1:4" ht="14.7" hidden="1" thickBot="1" x14ac:dyDescent="0.6">
      <c r="A508" s="1" t="s">
        <v>24</v>
      </c>
      <c r="B508" t="str">
        <f>VLOOKUP(A508,'Area Breakdown'!$B$1:$C$33,2,)</f>
        <v>October</v>
      </c>
      <c r="C508" s="2">
        <v>44309</v>
      </c>
      <c r="D508" s="3">
        <v>222.8</v>
      </c>
    </row>
    <row r="509" spans="1:4" ht="14.7" hidden="1" thickBot="1" x14ac:dyDescent="0.6">
      <c r="A509" s="1" t="s">
        <v>21</v>
      </c>
      <c r="B509" t="str">
        <f>VLOOKUP(A509,'Area Breakdown'!$B$1:$C$33,2,)</f>
        <v>Heliopolis</v>
      </c>
      <c r="C509" s="2">
        <v>44309</v>
      </c>
      <c r="D509" s="3">
        <v>216.4</v>
      </c>
    </row>
    <row r="510" spans="1:4" ht="14.7" hidden="1" thickBot="1" x14ac:dyDescent="0.6">
      <c r="A510" s="1" t="s">
        <v>1</v>
      </c>
      <c r="B510" t="str">
        <f>VLOOKUP(A510,'Area Breakdown'!$B$1:$C$33,2,)</f>
        <v>Downtown</v>
      </c>
      <c r="C510" s="2">
        <v>44309</v>
      </c>
      <c r="D510" s="3">
        <v>152.80000000000001</v>
      </c>
    </row>
    <row r="511" spans="1:4" ht="14.7" hidden="1" thickBot="1" x14ac:dyDescent="0.6">
      <c r="A511" s="1" t="s">
        <v>9</v>
      </c>
      <c r="B511" t="str">
        <f>VLOOKUP(A511,'Area Breakdown'!$B$1:$C$33,2,)</f>
        <v xml:space="preserve">Alexandria </v>
      </c>
      <c r="C511" s="2">
        <v>44309</v>
      </c>
      <c r="D511" s="3">
        <v>127.60000000000001</v>
      </c>
    </row>
    <row r="512" spans="1:4" ht="14.7" hidden="1" thickBot="1" x14ac:dyDescent="0.6">
      <c r="A512" s="1" t="s">
        <v>16</v>
      </c>
      <c r="B512" t="str">
        <f>VLOOKUP(A512,'Area Breakdown'!$B$1:$C$33,2,)</f>
        <v>Downtown</v>
      </c>
      <c r="C512" s="2">
        <v>44309</v>
      </c>
      <c r="D512" s="3">
        <v>124.80000000000001</v>
      </c>
    </row>
    <row r="513" spans="1:4" ht="14.7" hidden="1" thickBot="1" x14ac:dyDescent="0.6">
      <c r="A513" s="1" t="s">
        <v>13</v>
      </c>
      <c r="B513" t="str">
        <f>VLOOKUP(A513,'Area Breakdown'!$B$1:$C$33,2,)</f>
        <v>Heliopolis</v>
      </c>
      <c r="C513" s="2">
        <v>44309</v>
      </c>
      <c r="D513" s="3">
        <v>75.600000000000009</v>
      </c>
    </row>
    <row r="514" spans="1:4" ht="14.7" hidden="1" thickBot="1" x14ac:dyDescent="0.6">
      <c r="A514" s="1" t="s">
        <v>2</v>
      </c>
      <c r="B514" t="str">
        <f>VLOOKUP(A514,'Area Breakdown'!$B$1:$C$33,2,)</f>
        <v>Downtown</v>
      </c>
      <c r="C514" s="2">
        <v>44309</v>
      </c>
      <c r="D514" s="3">
        <v>75.600000000000009</v>
      </c>
    </row>
    <row r="515" spans="1:4" ht="14.7" hidden="1" thickBot="1" x14ac:dyDescent="0.6">
      <c r="A515" s="1" t="s">
        <v>4</v>
      </c>
      <c r="B515" t="str">
        <f>VLOOKUP(A515,'Area Breakdown'!$B$1:$C$33,2,)</f>
        <v>Downtown</v>
      </c>
      <c r="C515" s="2">
        <v>44309</v>
      </c>
      <c r="D515" s="3">
        <v>64.8</v>
      </c>
    </row>
    <row r="516" spans="1:4" ht="14.7" hidden="1" thickBot="1" x14ac:dyDescent="0.6">
      <c r="A516" s="1" t="s">
        <v>7</v>
      </c>
      <c r="B516" t="str">
        <f>VLOOKUP(A516,'Area Breakdown'!$B$1:$C$33,2,)</f>
        <v>October</v>
      </c>
      <c r="C516" s="2">
        <v>44309</v>
      </c>
      <c r="D516" s="3">
        <v>55.6</v>
      </c>
    </row>
    <row r="517" spans="1:4" ht="14.7" hidden="1" thickBot="1" x14ac:dyDescent="0.6">
      <c r="A517" s="1" t="s">
        <v>8</v>
      </c>
      <c r="B517" t="str">
        <f>VLOOKUP(A517,'Area Breakdown'!$B$1:$C$33,2,)</f>
        <v>Heliopolis</v>
      </c>
      <c r="C517" s="2">
        <v>44309</v>
      </c>
      <c r="D517" s="3">
        <v>52</v>
      </c>
    </row>
    <row r="518" spans="1:4" ht="14.7" hidden="1" thickBot="1" x14ac:dyDescent="0.6">
      <c r="A518" s="1" t="s">
        <v>15</v>
      </c>
      <c r="B518" t="str">
        <f>VLOOKUP(A518,'Area Breakdown'!$B$1:$C$33,2,)</f>
        <v>Heliopolis</v>
      </c>
      <c r="C518" s="2">
        <v>44309</v>
      </c>
      <c r="D518" s="3">
        <v>41.6</v>
      </c>
    </row>
    <row r="519" spans="1:4" ht="14.7" hidden="1" thickBot="1" x14ac:dyDescent="0.6">
      <c r="A519" s="1" t="s">
        <v>11</v>
      </c>
      <c r="B519" t="str">
        <f>VLOOKUP(A519,'Area Breakdown'!$B$1:$C$33,2,)</f>
        <v>New Cairo</v>
      </c>
      <c r="C519" s="2">
        <v>44309</v>
      </c>
      <c r="D519" s="3">
        <v>17.600000000000001</v>
      </c>
    </row>
    <row r="520" spans="1:4" ht="14.7" hidden="1" thickBot="1" x14ac:dyDescent="0.6">
      <c r="A520" s="1" t="s">
        <v>25</v>
      </c>
      <c r="B520" t="str">
        <f>VLOOKUP(A520,'Area Breakdown'!$B$1:$C$33,2,)</f>
        <v>October</v>
      </c>
      <c r="C520" s="2">
        <v>44310</v>
      </c>
      <c r="D520" s="3">
        <v>643.20000000000005</v>
      </c>
    </row>
    <row r="521" spans="1:4" ht="14.7" hidden="1" thickBot="1" x14ac:dyDescent="0.6">
      <c r="A521" s="1" t="s">
        <v>17</v>
      </c>
      <c r="B521" t="str">
        <f>VLOOKUP(A521,'Area Breakdown'!$B$1:$C$33,2,)</f>
        <v>Heliopolis</v>
      </c>
      <c r="C521" s="2">
        <v>44310</v>
      </c>
      <c r="D521" s="3">
        <v>452.8</v>
      </c>
    </row>
    <row r="522" spans="1:4" ht="14.7" hidden="1" thickBot="1" x14ac:dyDescent="0.6">
      <c r="A522" s="1" t="s">
        <v>24</v>
      </c>
      <c r="B522" t="str">
        <f>VLOOKUP(A522,'Area Breakdown'!$B$1:$C$33,2,)</f>
        <v>October</v>
      </c>
      <c r="C522" s="2">
        <v>44310</v>
      </c>
      <c r="D522" s="3">
        <v>435.6</v>
      </c>
    </row>
    <row r="523" spans="1:4" ht="14.7" hidden="1" thickBot="1" x14ac:dyDescent="0.6">
      <c r="A523" s="1" t="s">
        <v>20</v>
      </c>
      <c r="B523" t="str">
        <f>VLOOKUP(A523,'Area Breakdown'!$B$1:$C$33,2,)</f>
        <v>Downtown</v>
      </c>
      <c r="C523" s="2">
        <v>44310</v>
      </c>
      <c r="D523" s="3">
        <v>424.40000000000003</v>
      </c>
    </row>
    <row r="524" spans="1:4" ht="14.7" hidden="1" thickBot="1" x14ac:dyDescent="0.6">
      <c r="A524" s="1" t="s">
        <v>12</v>
      </c>
      <c r="B524" t="str">
        <f>VLOOKUP(A524,'Area Breakdown'!$B$1:$C$33,2,)</f>
        <v>New Cairo</v>
      </c>
      <c r="C524" s="2">
        <v>44310</v>
      </c>
      <c r="D524" s="3">
        <v>418.8</v>
      </c>
    </row>
    <row r="525" spans="1:4" ht="14.7" hidden="1" thickBot="1" x14ac:dyDescent="0.6">
      <c r="A525" s="1" t="s">
        <v>0</v>
      </c>
      <c r="B525" t="str">
        <f>VLOOKUP(A525,'Area Breakdown'!$B$1:$C$33,2,)</f>
        <v>Downtown</v>
      </c>
      <c r="C525" s="2">
        <v>44310</v>
      </c>
      <c r="D525" s="3">
        <v>326.40000000000003</v>
      </c>
    </row>
    <row r="526" spans="1:4" ht="14.7" hidden="1" thickBot="1" x14ac:dyDescent="0.6">
      <c r="A526" s="1" t="s">
        <v>22</v>
      </c>
      <c r="B526" t="str">
        <f>VLOOKUP(A526,'Area Breakdown'!$B$1:$C$33,2,)</f>
        <v>Heliopolis</v>
      </c>
      <c r="C526" s="2">
        <v>44310</v>
      </c>
      <c r="D526" s="3">
        <v>309.60000000000002</v>
      </c>
    </row>
    <row r="527" spans="1:4" ht="14.7" hidden="1" thickBot="1" x14ac:dyDescent="0.6">
      <c r="A527" s="1" t="s">
        <v>10</v>
      </c>
      <c r="B527" t="str">
        <f>VLOOKUP(A527,'Area Breakdown'!$B$1:$C$33,2,)</f>
        <v xml:space="preserve">Alexandria </v>
      </c>
      <c r="C527" s="2">
        <v>44310</v>
      </c>
      <c r="D527" s="3">
        <v>243.60000000000002</v>
      </c>
    </row>
    <row r="528" spans="1:4" ht="14.7" hidden="1" thickBot="1" x14ac:dyDescent="0.6">
      <c r="A528" s="1" t="s">
        <v>2</v>
      </c>
      <c r="B528" t="str">
        <f>VLOOKUP(A528,'Area Breakdown'!$B$1:$C$33,2,)</f>
        <v>Downtown</v>
      </c>
      <c r="C528" s="2">
        <v>44310</v>
      </c>
      <c r="D528" s="3">
        <v>243.60000000000002</v>
      </c>
    </row>
    <row r="529" spans="1:4" ht="14.7" hidden="1" thickBot="1" x14ac:dyDescent="0.6">
      <c r="A529" s="1" t="s">
        <v>9</v>
      </c>
      <c r="B529" t="str">
        <f>VLOOKUP(A529,'Area Breakdown'!$B$1:$C$33,2,)</f>
        <v xml:space="preserve">Alexandria </v>
      </c>
      <c r="C529" s="2">
        <v>44310</v>
      </c>
      <c r="D529" s="3">
        <v>179.60000000000002</v>
      </c>
    </row>
    <row r="530" spans="1:4" ht="14.7" hidden="1" thickBot="1" x14ac:dyDescent="0.6">
      <c r="A530" s="1" t="s">
        <v>3</v>
      </c>
      <c r="B530" t="str">
        <f>VLOOKUP(A530,'Area Breakdown'!$B$1:$C$33,2,)</f>
        <v>Downtown</v>
      </c>
      <c r="C530" s="2">
        <v>44310</v>
      </c>
      <c r="D530" s="3">
        <v>167.60000000000002</v>
      </c>
    </row>
    <row r="531" spans="1:4" ht="14.7" hidden="1" thickBot="1" x14ac:dyDescent="0.6">
      <c r="A531" s="1" t="s">
        <v>6</v>
      </c>
      <c r="B531" t="str">
        <f>VLOOKUP(A531,'Area Breakdown'!$B$1:$C$33,2,)</f>
        <v xml:space="preserve">Alexandria </v>
      </c>
      <c r="C531" s="2">
        <v>44310</v>
      </c>
      <c r="D531" s="3">
        <v>150</v>
      </c>
    </row>
    <row r="532" spans="1:4" ht="14.7" hidden="1" thickBot="1" x14ac:dyDescent="0.6">
      <c r="A532" s="1" t="s">
        <v>13</v>
      </c>
      <c r="B532" t="str">
        <f>VLOOKUP(A532,'Area Breakdown'!$B$1:$C$33,2,)</f>
        <v>Heliopolis</v>
      </c>
      <c r="C532" s="2">
        <v>44310</v>
      </c>
      <c r="D532" s="3">
        <v>136.80000000000001</v>
      </c>
    </row>
    <row r="533" spans="1:4" ht="14.7" hidden="1" thickBot="1" x14ac:dyDescent="0.6">
      <c r="A533" s="1" t="s">
        <v>27</v>
      </c>
      <c r="B533" t="str">
        <f>VLOOKUP(A533,'Area Breakdown'!$B$1:$C$33,2,)</f>
        <v xml:space="preserve">Alexandria </v>
      </c>
      <c r="C533" s="2">
        <v>44310</v>
      </c>
      <c r="D533" s="3">
        <v>132.80000000000001</v>
      </c>
    </row>
    <row r="534" spans="1:4" ht="14.7" hidden="1" thickBot="1" x14ac:dyDescent="0.6">
      <c r="A534" s="1" t="s">
        <v>16</v>
      </c>
      <c r="B534" t="str">
        <f>VLOOKUP(A534,'Area Breakdown'!$B$1:$C$33,2,)</f>
        <v>Downtown</v>
      </c>
      <c r="C534" s="2">
        <v>44310</v>
      </c>
      <c r="D534" s="3">
        <v>112.80000000000001</v>
      </c>
    </row>
    <row r="535" spans="1:4" ht="14.7" hidden="1" thickBot="1" x14ac:dyDescent="0.6">
      <c r="A535" s="1" t="s">
        <v>8</v>
      </c>
      <c r="B535" t="str">
        <f>VLOOKUP(A535,'Area Breakdown'!$B$1:$C$33,2,)</f>
        <v>Heliopolis</v>
      </c>
      <c r="C535" s="2">
        <v>44310</v>
      </c>
      <c r="D535" s="3">
        <v>93.2</v>
      </c>
    </row>
    <row r="536" spans="1:4" ht="14.7" hidden="1" thickBot="1" x14ac:dyDescent="0.6">
      <c r="A536" s="1" t="s">
        <v>21</v>
      </c>
      <c r="B536" t="str">
        <f>VLOOKUP(A536,'Area Breakdown'!$B$1:$C$33,2,)</f>
        <v>Heliopolis</v>
      </c>
      <c r="C536" s="2">
        <v>44310</v>
      </c>
      <c r="D536" s="3">
        <v>92.4</v>
      </c>
    </row>
    <row r="537" spans="1:4" ht="14.7" hidden="1" thickBot="1" x14ac:dyDescent="0.6">
      <c r="A537" s="1" t="s">
        <v>19</v>
      </c>
      <c r="B537" t="str">
        <f>VLOOKUP(A537,'Area Breakdown'!$B$1:$C$33,2,)</f>
        <v>Downtown</v>
      </c>
      <c r="C537" s="2">
        <v>44310</v>
      </c>
      <c r="D537" s="3">
        <v>87.600000000000009</v>
      </c>
    </row>
    <row r="538" spans="1:4" ht="14.7" hidden="1" thickBot="1" x14ac:dyDescent="0.6">
      <c r="A538" s="1" t="s">
        <v>1</v>
      </c>
      <c r="B538" t="str">
        <f>VLOOKUP(A538,'Area Breakdown'!$B$1:$C$33,2,)</f>
        <v>Downtown</v>
      </c>
      <c r="C538" s="2">
        <v>44310</v>
      </c>
      <c r="D538" s="3">
        <v>87.600000000000009</v>
      </c>
    </row>
    <row r="539" spans="1:4" ht="14.7" hidden="1" thickBot="1" x14ac:dyDescent="0.6">
      <c r="A539" s="1" t="s">
        <v>4</v>
      </c>
      <c r="B539" t="str">
        <f>VLOOKUP(A539,'Area Breakdown'!$B$1:$C$33,2,)</f>
        <v>Downtown</v>
      </c>
      <c r="C539" s="2">
        <v>44310</v>
      </c>
      <c r="D539" s="3">
        <v>74.8</v>
      </c>
    </row>
    <row r="540" spans="1:4" ht="14.7" hidden="1" thickBot="1" x14ac:dyDescent="0.6">
      <c r="A540" s="1" t="s">
        <v>15</v>
      </c>
      <c r="B540" t="str">
        <f>VLOOKUP(A540,'Area Breakdown'!$B$1:$C$33,2,)</f>
        <v>Heliopolis</v>
      </c>
      <c r="C540" s="2">
        <v>44310</v>
      </c>
      <c r="D540" s="3">
        <v>58</v>
      </c>
    </row>
    <row r="541" spans="1:4" ht="14.7" hidden="1" thickBot="1" x14ac:dyDescent="0.6">
      <c r="A541" s="1" t="s">
        <v>23</v>
      </c>
      <c r="B541" t="str">
        <f>VLOOKUP(A541,'Area Breakdown'!$B$1:$C$33,2,)</f>
        <v>Heliopolis</v>
      </c>
      <c r="C541" s="2">
        <v>44310</v>
      </c>
      <c r="D541" s="3">
        <v>57.6</v>
      </c>
    </row>
    <row r="542" spans="1:4" ht="14.7" hidden="1" thickBot="1" x14ac:dyDescent="0.6">
      <c r="A542" s="1" t="s">
        <v>7</v>
      </c>
      <c r="B542" t="str">
        <f>VLOOKUP(A542,'Area Breakdown'!$B$1:$C$33,2,)</f>
        <v>October</v>
      </c>
      <c r="C542" s="2">
        <v>44310</v>
      </c>
      <c r="D542" s="3">
        <v>33.6</v>
      </c>
    </row>
    <row r="543" spans="1:4" ht="14.7" hidden="1" thickBot="1" x14ac:dyDescent="0.6">
      <c r="A543" s="1" t="s">
        <v>0</v>
      </c>
      <c r="B543" t="str">
        <f>VLOOKUP(A543,'Area Breakdown'!$B$1:$C$33,2,)</f>
        <v>Downtown</v>
      </c>
      <c r="C543" s="2">
        <v>44311</v>
      </c>
      <c r="D543" s="3">
        <v>490.8</v>
      </c>
    </row>
    <row r="544" spans="1:4" ht="14.7" hidden="1" thickBot="1" x14ac:dyDescent="0.6">
      <c r="A544" s="1" t="s">
        <v>25</v>
      </c>
      <c r="B544" t="str">
        <f>VLOOKUP(A544,'Area Breakdown'!$B$1:$C$33,2,)</f>
        <v>October</v>
      </c>
      <c r="C544" s="2">
        <v>44311</v>
      </c>
      <c r="D544" s="3">
        <v>412.40000000000003</v>
      </c>
    </row>
    <row r="545" spans="1:4" ht="14.7" hidden="1" thickBot="1" x14ac:dyDescent="0.6">
      <c r="A545" s="1" t="s">
        <v>16</v>
      </c>
      <c r="B545" t="str">
        <f>VLOOKUP(A545,'Area Breakdown'!$B$1:$C$33,2,)</f>
        <v>Downtown</v>
      </c>
      <c r="C545" s="2">
        <v>44311</v>
      </c>
      <c r="D545" s="3">
        <v>368.8</v>
      </c>
    </row>
    <row r="546" spans="1:4" ht="14.7" hidden="1" thickBot="1" x14ac:dyDescent="0.6">
      <c r="A546" s="1" t="s">
        <v>17</v>
      </c>
      <c r="B546" t="str">
        <f>VLOOKUP(A546,'Area Breakdown'!$B$1:$C$33,2,)</f>
        <v>Heliopolis</v>
      </c>
      <c r="C546" s="2">
        <v>44311</v>
      </c>
      <c r="D546" s="3">
        <v>340.40000000000003</v>
      </c>
    </row>
    <row r="547" spans="1:4" ht="14.7" hidden="1" thickBot="1" x14ac:dyDescent="0.6">
      <c r="A547" s="1" t="s">
        <v>22</v>
      </c>
      <c r="B547" t="str">
        <f>VLOOKUP(A547,'Area Breakdown'!$B$1:$C$33,2,)</f>
        <v>Heliopolis</v>
      </c>
      <c r="C547" s="2">
        <v>44311</v>
      </c>
      <c r="D547" s="3">
        <v>338.40000000000003</v>
      </c>
    </row>
    <row r="548" spans="1:4" ht="14.7" hidden="1" thickBot="1" x14ac:dyDescent="0.6">
      <c r="A548" s="1" t="s">
        <v>12</v>
      </c>
      <c r="B548" t="str">
        <f>VLOOKUP(A548,'Area Breakdown'!$B$1:$C$33,2,)</f>
        <v>New Cairo</v>
      </c>
      <c r="C548" s="2">
        <v>44311</v>
      </c>
      <c r="D548" s="3">
        <v>297.2</v>
      </c>
    </row>
    <row r="549" spans="1:4" ht="14.7" hidden="1" thickBot="1" x14ac:dyDescent="0.6">
      <c r="A549" s="1" t="s">
        <v>2</v>
      </c>
      <c r="B549" t="str">
        <f>VLOOKUP(A549,'Area Breakdown'!$B$1:$C$33,2,)</f>
        <v>Downtown</v>
      </c>
      <c r="C549" s="2">
        <v>44311</v>
      </c>
      <c r="D549" s="3">
        <v>270</v>
      </c>
    </row>
    <row r="550" spans="1:4" ht="14.7" hidden="1" thickBot="1" x14ac:dyDescent="0.6">
      <c r="A550" s="1" t="s">
        <v>27</v>
      </c>
      <c r="B550" t="str">
        <f>VLOOKUP(A550,'Area Breakdown'!$B$1:$C$33,2,)</f>
        <v xml:space="preserve">Alexandria </v>
      </c>
      <c r="C550" s="2">
        <v>44311</v>
      </c>
      <c r="D550" s="3">
        <v>224.8</v>
      </c>
    </row>
    <row r="551" spans="1:4" ht="14.7" hidden="1" thickBot="1" x14ac:dyDescent="0.6">
      <c r="A551" s="1" t="s">
        <v>24</v>
      </c>
      <c r="B551" t="str">
        <f>VLOOKUP(A551,'Area Breakdown'!$B$1:$C$33,2,)</f>
        <v>October</v>
      </c>
      <c r="C551" s="2">
        <v>44311</v>
      </c>
      <c r="D551" s="3">
        <v>214.8</v>
      </c>
    </row>
    <row r="552" spans="1:4" ht="14.7" hidden="1" thickBot="1" x14ac:dyDescent="0.6">
      <c r="A552" s="1" t="s">
        <v>10</v>
      </c>
      <c r="B552" t="str">
        <f>VLOOKUP(A552,'Area Breakdown'!$B$1:$C$33,2,)</f>
        <v xml:space="preserve">Alexandria </v>
      </c>
      <c r="C552" s="2">
        <v>44311</v>
      </c>
      <c r="D552" s="3">
        <v>202.4</v>
      </c>
    </row>
    <row r="553" spans="1:4" ht="14.7" hidden="1" thickBot="1" x14ac:dyDescent="0.6">
      <c r="A553" s="1" t="s">
        <v>1</v>
      </c>
      <c r="B553" t="str">
        <f>VLOOKUP(A553,'Area Breakdown'!$B$1:$C$33,2,)</f>
        <v>Downtown</v>
      </c>
      <c r="C553" s="2">
        <v>44311</v>
      </c>
      <c r="D553" s="3">
        <v>196.8</v>
      </c>
    </row>
    <row r="554" spans="1:4" ht="14.7" hidden="1" thickBot="1" x14ac:dyDescent="0.6">
      <c r="A554" s="1" t="s">
        <v>4</v>
      </c>
      <c r="B554" t="str">
        <f>VLOOKUP(A554,'Area Breakdown'!$B$1:$C$33,2,)</f>
        <v>Downtown</v>
      </c>
      <c r="C554" s="2">
        <v>44311</v>
      </c>
      <c r="D554" s="3">
        <v>192.8</v>
      </c>
    </row>
    <row r="555" spans="1:4" ht="14.7" hidden="1" thickBot="1" x14ac:dyDescent="0.6">
      <c r="A555" s="1" t="s">
        <v>13</v>
      </c>
      <c r="B555" t="str">
        <f>VLOOKUP(A555,'Area Breakdown'!$B$1:$C$33,2,)</f>
        <v>Heliopolis</v>
      </c>
      <c r="C555" s="2">
        <v>44311</v>
      </c>
      <c r="D555" s="3">
        <v>161.20000000000002</v>
      </c>
    </row>
    <row r="556" spans="1:4" ht="14.7" hidden="1" thickBot="1" x14ac:dyDescent="0.6">
      <c r="A556" s="1" t="s">
        <v>20</v>
      </c>
      <c r="B556" t="str">
        <f>VLOOKUP(A556,'Area Breakdown'!$B$1:$C$33,2,)</f>
        <v>Downtown</v>
      </c>
      <c r="C556" s="2">
        <v>44311</v>
      </c>
      <c r="D556" s="3">
        <v>155.60000000000002</v>
      </c>
    </row>
    <row r="557" spans="1:4" ht="14.7" hidden="1" thickBot="1" x14ac:dyDescent="0.6">
      <c r="A557" s="1" t="s">
        <v>19</v>
      </c>
      <c r="B557" t="str">
        <f>VLOOKUP(A557,'Area Breakdown'!$B$1:$C$33,2,)</f>
        <v>Downtown</v>
      </c>
      <c r="C557" s="2">
        <v>44311</v>
      </c>
      <c r="D557" s="3">
        <v>130</v>
      </c>
    </row>
    <row r="558" spans="1:4" ht="14.7" hidden="1" thickBot="1" x14ac:dyDescent="0.6">
      <c r="A558" s="1" t="s">
        <v>6</v>
      </c>
      <c r="B558" t="str">
        <f>VLOOKUP(A558,'Area Breakdown'!$B$1:$C$33,2,)</f>
        <v xml:space="preserve">Alexandria </v>
      </c>
      <c r="C558" s="2">
        <v>44311</v>
      </c>
      <c r="D558" s="3">
        <v>92.4</v>
      </c>
    </row>
    <row r="559" spans="1:4" ht="14.7" hidden="1" thickBot="1" x14ac:dyDescent="0.6">
      <c r="A559" s="1" t="s">
        <v>8</v>
      </c>
      <c r="B559" t="str">
        <f>VLOOKUP(A559,'Area Breakdown'!$B$1:$C$33,2,)</f>
        <v>Heliopolis</v>
      </c>
      <c r="C559" s="2">
        <v>44311</v>
      </c>
      <c r="D559" s="3">
        <v>85.2</v>
      </c>
    </row>
    <row r="560" spans="1:4" ht="14.7" hidden="1" thickBot="1" x14ac:dyDescent="0.6">
      <c r="A560" s="1" t="s">
        <v>3</v>
      </c>
      <c r="B560" t="str">
        <f>VLOOKUP(A560,'Area Breakdown'!$B$1:$C$33,2,)</f>
        <v>Downtown</v>
      </c>
      <c r="C560" s="2">
        <v>44311</v>
      </c>
      <c r="D560" s="3">
        <v>80</v>
      </c>
    </row>
    <row r="561" spans="1:4" ht="14.7" hidden="1" thickBot="1" x14ac:dyDescent="0.6">
      <c r="A561" s="1" t="s">
        <v>23</v>
      </c>
      <c r="B561" t="str">
        <f>VLOOKUP(A561,'Area Breakdown'!$B$1:$C$33,2,)</f>
        <v>Heliopolis</v>
      </c>
      <c r="C561" s="2">
        <v>44311</v>
      </c>
      <c r="D561" s="3">
        <v>54</v>
      </c>
    </row>
    <row r="562" spans="1:4" ht="14.7" hidden="1" thickBot="1" x14ac:dyDescent="0.6">
      <c r="A562" s="1" t="s">
        <v>21</v>
      </c>
      <c r="B562" t="str">
        <f>VLOOKUP(A562,'Area Breakdown'!$B$1:$C$33,2,)</f>
        <v>Heliopolis</v>
      </c>
      <c r="C562" s="2">
        <v>44311</v>
      </c>
      <c r="D562" s="3">
        <v>28.8</v>
      </c>
    </row>
    <row r="563" spans="1:4" ht="14.7" hidden="1" thickBot="1" x14ac:dyDescent="0.6">
      <c r="A563" s="1" t="s">
        <v>11</v>
      </c>
      <c r="B563" t="str">
        <f>VLOOKUP(A563,'Area Breakdown'!$B$1:$C$33,2,)</f>
        <v>New Cairo</v>
      </c>
      <c r="C563" s="2">
        <v>44311</v>
      </c>
      <c r="D563" s="3">
        <v>18</v>
      </c>
    </row>
    <row r="564" spans="1:4" ht="14.7" hidden="1" thickBot="1" x14ac:dyDescent="0.6">
      <c r="A564" s="1" t="s">
        <v>9</v>
      </c>
      <c r="B564" t="str">
        <f>VLOOKUP(A564,'Area Breakdown'!$B$1:$C$33,2,)</f>
        <v xml:space="preserve">Alexandria </v>
      </c>
      <c r="C564" s="2">
        <v>44311</v>
      </c>
      <c r="D564" s="3">
        <v>12.4</v>
      </c>
    </row>
    <row r="565" spans="1:4" ht="14.7" hidden="1" thickBot="1" x14ac:dyDescent="0.6">
      <c r="A565" s="1" t="s">
        <v>12</v>
      </c>
      <c r="B565" t="str">
        <f>VLOOKUP(A565,'Area Breakdown'!$B$1:$C$33,2,)</f>
        <v>New Cairo</v>
      </c>
      <c r="C565" s="2">
        <v>44312</v>
      </c>
      <c r="D565" s="3">
        <v>618</v>
      </c>
    </row>
    <row r="566" spans="1:4" ht="14.7" hidden="1" thickBot="1" x14ac:dyDescent="0.6">
      <c r="A566" s="1" t="s">
        <v>0</v>
      </c>
      <c r="B566" t="str">
        <f>VLOOKUP(A566,'Area Breakdown'!$B$1:$C$33,2,)</f>
        <v>Downtown</v>
      </c>
      <c r="C566" s="2">
        <v>44312</v>
      </c>
      <c r="D566" s="3">
        <v>537.6</v>
      </c>
    </row>
    <row r="567" spans="1:4" ht="14.7" hidden="1" thickBot="1" x14ac:dyDescent="0.6">
      <c r="A567" s="1" t="s">
        <v>19</v>
      </c>
      <c r="B567" t="str">
        <f>VLOOKUP(A567,'Area Breakdown'!$B$1:$C$33,2,)</f>
        <v>Downtown</v>
      </c>
      <c r="C567" s="2">
        <v>44312</v>
      </c>
      <c r="D567" s="3">
        <v>490.40000000000003</v>
      </c>
    </row>
    <row r="568" spans="1:4" ht="14.7" hidden="1" thickBot="1" x14ac:dyDescent="0.6">
      <c r="A568" s="1" t="s">
        <v>25</v>
      </c>
      <c r="B568" t="str">
        <f>VLOOKUP(A568,'Area Breakdown'!$B$1:$C$33,2,)</f>
        <v>October</v>
      </c>
      <c r="C568" s="2">
        <v>44312</v>
      </c>
      <c r="D568" s="3">
        <v>446.8</v>
      </c>
    </row>
    <row r="569" spans="1:4" ht="14.7" hidden="1" thickBot="1" x14ac:dyDescent="0.6">
      <c r="A569" s="1" t="s">
        <v>20</v>
      </c>
      <c r="B569" t="str">
        <f>VLOOKUP(A569,'Area Breakdown'!$B$1:$C$33,2,)</f>
        <v>Downtown</v>
      </c>
      <c r="C569" s="2">
        <v>44312</v>
      </c>
      <c r="D569" s="3">
        <v>429.20000000000005</v>
      </c>
    </row>
    <row r="570" spans="1:4" ht="14.7" hidden="1" thickBot="1" x14ac:dyDescent="0.6">
      <c r="A570" s="1" t="s">
        <v>22</v>
      </c>
      <c r="B570" t="str">
        <f>VLOOKUP(A570,'Area Breakdown'!$B$1:$C$33,2,)</f>
        <v>Heliopolis</v>
      </c>
      <c r="C570" s="2">
        <v>44312</v>
      </c>
      <c r="D570" s="3">
        <v>397.20000000000005</v>
      </c>
    </row>
    <row r="571" spans="1:4" ht="14.7" hidden="1" thickBot="1" x14ac:dyDescent="0.6">
      <c r="A571" s="1" t="s">
        <v>17</v>
      </c>
      <c r="B571" t="str">
        <f>VLOOKUP(A571,'Area Breakdown'!$B$1:$C$33,2,)</f>
        <v>Heliopolis</v>
      </c>
      <c r="C571" s="2">
        <v>44312</v>
      </c>
      <c r="D571" s="3">
        <v>391.20000000000005</v>
      </c>
    </row>
    <row r="572" spans="1:4" ht="14.7" hidden="1" thickBot="1" x14ac:dyDescent="0.6">
      <c r="A572" s="1" t="s">
        <v>1</v>
      </c>
      <c r="B572" t="str">
        <f>VLOOKUP(A572,'Area Breakdown'!$B$1:$C$33,2,)</f>
        <v>Downtown</v>
      </c>
      <c r="C572" s="2">
        <v>44312</v>
      </c>
      <c r="D572" s="3">
        <v>334.8</v>
      </c>
    </row>
    <row r="573" spans="1:4" ht="14.7" hidden="1" thickBot="1" x14ac:dyDescent="0.6">
      <c r="A573" s="1" t="s">
        <v>10</v>
      </c>
      <c r="B573" t="str">
        <f>VLOOKUP(A573,'Area Breakdown'!$B$1:$C$33,2,)</f>
        <v xml:space="preserve">Alexandria </v>
      </c>
      <c r="C573" s="2">
        <v>44312</v>
      </c>
      <c r="D573" s="3">
        <v>327.20000000000005</v>
      </c>
    </row>
    <row r="574" spans="1:4" ht="14.7" hidden="1" thickBot="1" x14ac:dyDescent="0.6">
      <c r="A574" s="1" t="s">
        <v>24</v>
      </c>
      <c r="B574" t="str">
        <f>VLOOKUP(A574,'Area Breakdown'!$B$1:$C$33,2,)</f>
        <v>October</v>
      </c>
      <c r="C574" s="2">
        <v>44312</v>
      </c>
      <c r="D574" s="3">
        <v>285.60000000000002</v>
      </c>
    </row>
    <row r="575" spans="1:4" ht="14.7" hidden="1" thickBot="1" x14ac:dyDescent="0.6">
      <c r="A575" s="1" t="s">
        <v>21</v>
      </c>
      <c r="B575" t="str">
        <f>VLOOKUP(A575,'Area Breakdown'!$B$1:$C$33,2,)</f>
        <v>Heliopolis</v>
      </c>
      <c r="C575" s="2">
        <v>44312</v>
      </c>
      <c r="D575" s="3">
        <v>248.8</v>
      </c>
    </row>
    <row r="576" spans="1:4" ht="14.7" hidden="1" thickBot="1" x14ac:dyDescent="0.6">
      <c r="A576" s="1" t="s">
        <v>2</v>
      </c>
      <c r="B576" t="str">
        <f>VLOOKUP(A576,'Area Breakdown'!$B$1:$C$33,2,)</f>
        <v>Downtown</v>
      </c>
      <c r="C576" s="2">
        <v>44312</v>
      </c>
      <c r="D576" s="3">
        <v>206</v>
      </c>
    </row>
    <row r="577" spans="1:4" ht="14.7" hidden="1" thickBot="1" x14ac:dyDescent="0.6">
      <c r="A577" s="1" t="s">
        <v>27</v>
      </c>
      <c r="B577" t="str">
        <f>VLOOKUP(A577,'Area Breakdown'!$B$1:$C$33,2,)</f>
        <v xml:space="preserve">Alexandria </v>
      </c>
      <c r="C577" s="2">
        <v>44312</v>
      </c>
      <c r="D577" s="3">
        <v>195.20000000000002</v>
      </c>
    </row>
    <row r="578" spans="1:4" ht="14.7" hidden="1" thickBot="1" x14ac:dyDescent="0.6">
      <c r="A578" s="1" t="s">
        <v>9</v>
      </c>
      <c r="B578" t="str">
        <f>VLOOKUP(A578,'Area Breakdown'!$B$1:$C$33,2,)</f>
        <v xml:space="preserve">Alexandria </v>
      </c>
      <c r="C578" s="2">
        <v>44312</v>
      </c>
      <c r="D578" s="3">
        <v>190.8</v>
      </c>
    </row>
    <row r="579" spans="1:4" ht="14.7" hidden="1" thickBot="1" x14ac:dyDescent="0.6">
      <c r="A579" s="1" t="s">
        <v>13</v>
      </c>
      <c r="B579" t="str">
        <f>VLOOKUP(A579,'Area Breakdown'!$B$1:$C$33,2,)</f>
        <v>Heliopolis</v>
      </c>
      <c r="C579" s="2">
        <v>44312</v>
      </c>
      <c r="D579" s="3">
        <v>189.20000000000002</v>
      </c>
    </row>
    <row r="580" spans="1:4" ht="14.7" hidden="1" thickBot="1" x14ac:dyDescent="0.6">
      <c r="A580" s="1" t="s">
        <v>15</v>
      </c>
      <c r="B580" t="str">
        <f>VLOOKUP(A580,'Area Breakdown'!$B$1:$C$33,2,)</f>
        <v>Heliopolis</v>
      </c>
      <c r="C580" s="2">
        <v>44312</v>
      </c>
      <c r="D580" s="3">
        <v>164.8</v>
      </c>
    </row>
    <row r="581" spans="1:4" ht="14.7" hidden="1" thickBot="1" x14ac:dyDescent="0.6">
      <c r="A581" s="1" t="s">
        <v>6</v>
      </c>
      <c r="B581" t="str">
        <f>VLOOKUP(A581,'Area Breakdown'!$B$1:$C$33,2,)</f>
        <v xml:space="preserve">Alexandria </v>
      </c>
      <c r="C581" s="2">
        <v>44312</v>
      </c>
      <c r="D581" s="3">
        <v>131.6</v>
      </c>
    </row>
    <row r="582" spans="1:4" ht="14.7" hidden="1" thickBot="1" x14ac:dyDescent="0.6">
      <c r="A582" s="1" t="s">
        <v>3</v>
      </c>
      <c r="B582" t="str">
        <f>VLOOKUP(A582,'Area Breakdown'!$B$1:$C$33,2,)</f>
        <v>Downtown</v>
      </c>
      <c r="C582" s="2">
        <v>44312</v>
      </c>
      <c r="D582" s="3">
        <v>130</v>
      </c>
    </row>
    <row r="583" spans="1:4" ht="14.7" hidden="1" thickBot="1" x14ac:dyDescent="0.6">
      <c r="A583" s="1" t="s">
        <v>16</v>
      </c>
      <c r="B583" t="str">
        <f>VLOOKUP(A583,'Area Breakdown'!$B$1:$C$33,2,)</f>
        <v>Downtown</v>
      </c>
      <c r="C583" s="2">
        <v>44312</v>
      </c>
      <c r="D583" s="3">
        <v>128.4</v>
      </c>
    </row>
    <row r="584" spans="1:4" ht="14.7" hidden="1" thickBot="1" x14ac:dyDescent="0.6">
      <c r="A584" s="1" t="s">
        <v>8</v>
      </c>
      <c r="B584" t="str">
        <f>VLOOKUP(A584,'Area Breakdown'!$B$1:$C$33,2,)</f>
        <v>Heliopolis</v>
      </c>
      <c r="C584" s="2">
        <v>44312</v>
      </c>
      <c r="D584" s="3">
        <v>123.2</v>
      </c>
    </row>
    <row r="585" spans="1:4" ht="14.7" hidden="1" thickBot="1" x14ac:dyDescent="0.6">
      <c r="A585" s="1" t="s">
        <v>23</v>
      </c>
      <c r="B585" t="str">
        <f>VLOOKUP(A585,'Area Breakdown'!$B$1:$C$33,2,)</f>
        <v>Heliopolis</v>
      </c>
      <c r="C585" s="2">
        <v>44312</v>
      </c>
      <c r="D585" s="3">
        <v>44.800000000000004</v>
      </c>
    </row>
    <row r="586" spans="1:4" ht="14.7" hidden="1" thickBot="1" x14ac:dyDescent="0.6">
      <c r="A586" s="1" t="s">
        <v>4</v>
      </c>
      <c r="B586" t="str">
        <f>VLOOKUP(A586,'Area Breakdown'!$B$1:$C$33,2,)</f>
        <v>Downtown</v>
      </c>
      <c r="C586" s="2">
        <v>44312</v>
      </c>
      <c r="D586" s="3">
        <v>31.6</v>
      </c>
    </row>
    <row r="587" spans="1:4" ht="14.7" hidden="1" thickBot="1" x14ac:dyDescent="0.6">
      <c r="A587" s="1" t="s">
        <v>11</v>
      </c>
      <c r="B587" t="str">
        <f>VLOOKUP(A587,'Area Breakdown'!$B$1:$C$33,2,)</f>
        <v>New Cairo</v>
      </c>
      <c r="C587" s="2">
        <v>44312</v>
      </c>
      <c r="D587" s="3">
        <v>20.400000000000002</v>
      </c>
    </row>
    <row r="588" spans="1:4" ht="14.7" hidden="1" thickBot="1" x14ac:dyDescent="0.6">
      <c r="A588" s="1" t="s">
        <v>25</v>
      </c>
      <c r="B588" t="str">
        <f>VLOOKUP(A588,'Area Breakdown'!$B$1:$C$33,2,)</f>
        <v>October</v>
      </c>
      <c r="C588" s="2">
        <v>44313</v>
      </c>
      <c r="D588" s="3">
        <v>598.80000000000007</v>
      </c>
    </row>
    <row r="589" spans="1:4" ht="14.7" hidden="1" thickBot="1" x14ac:dyDescent="0.6">
      <c r="A589" s="1" t="s">
        <v>10</v>
      </c>
      <c r="B589" t="str">
        <f>VLOOKUP(A589,'Area Breakdown'!$B$1:$C$33,2,)</f>
        <v xml:space="preserve">Alexandria </v>
      </c>
      <c r="C589" s="2">
        <v>44313</v>
      </c>
      <c r="D589" s="3">
        <v>456.8</v>
      </c>
    </row>
    <row r="590" spans="1:4" ht="14.7" hidden="1" thickBot="1" x14ac:dyDescent="0.6">
      <c r="A590" s="1" t="s">
        <v>0</v>
      </c>
      <c r="B590" t="str">
        <f>VLOOKUP(A590,'Area Breakdown'!$B$1:$C$33,2,)</f>
        <v>Downtown</v>
      </c>
      <c r="C590" s="2">
        <v>44313</v>
      </c>
      <c r="D590" s="3">
        <v>366.8</v>
      </c>
    </row>
    <row r="591" spans="1:4" ht="14.7" hidden="1" thickBot="1" x14ac:dyDescent="0.6">
      <c r="A591" s="1" t="s">
        <v>12</v>
      </c>
      <c r="B591" t="str">
        <f>VLOOKUP(A591,'Area Breakdown'!$B$1:$C$33,2,)</f>
        <v>New Cairo</v>
      </c>
      <c r="C591" s="2">
        <v>44313</v>
      </c>
      <c r="D591" s="3">
        <v>341.6</v>
      </c>
    </row>
    <row r="592" spans="1:4" ht="14.7" hidden="1" thickBot="1" x14ac:dyDescent="0.6">
      <c r="A592" s="1" t="s">
        <v>2</v>
      </c>
      <c r="B592" t="str">
        <f>VLOOKUP(A592,'Area Breakdown'!$B$1:$C$33,2,)</f>
        <v>Downtown</v>
      </c>
      <c r="C592" s="2">
        <v>44313</v>
      </c>
      <c r="D592" s="3">
        <v>271.60000000000002</v>
      </c>
    </row>
    <row r="593" spans="1:4" ht="14.7" hidden="1" thickBot="1" x14ac:dyDescent="0.6">
      <c r="A593" s="1" t="s">
        <v>24</v>
      </c>
      <c r="B593" t="str">
        <f>VLOOKUP(A593,'Area Breakdown'!$B$1:$C$33,2,)</f>
        <v>October</v>
      </c>
      <c r="C593" s="2">
        <v>44313</v>
      </c>
      <c r="D593" s="3">
        <v>244.4</v>
      </c>
    </row>
    <row r="594" spans="1:4" ht="14.7" hidden="1" thickBot="1" x14ac:dyDescent="0.6">
      <c r="A594" s="1" t="s">
        <v>13</v>
      </c>
      <c r="B594" t="str">
        <f>VLOOKUP(A594,'Area Breakdown'!$B$1:$C$33,2,)</f>
        <v>Heliopolis</v>
      </c>
      <c r="C594" s="2">
        <v>44313</v>
      </c>
      <c r="D594" s="3">
        <v>242</v>
      </c>
    </row>
    <row r="595" spans="1:4" ht="14.7" hidden="1" thickBot="1" x14ac:dyDescent="0.6">
      <c r="A595" s="1" t="s">
        <v>22</v>
      </c>
      <c r="B595" t="str">
        <f>VLOOKUP(A595,'Area Breakdown'!$B$1:$C$33,2,)</f>
        <v>Heliopolis</v>
      </c>
      <c r="C595" s="2">
        <v>44313</v>
      </c>
      <c r="D595" s="3">
        <v>228.8</v>
      </c>
    </row>
    <row r="596" spans="1:4" ht="14.7" hidden="1" thickBot="1" x14ac:dyDescent="0.6">
      <c r="A596" s="1" t="s">
        <v>27</v>
      </c>
      <c r="B596" t="str">
        <f>VLOOKUP(A596,'Area Breakdown'!$B$1:$C$33,2,)</f>
        <v xml:space="preserve">Alexandria </v>
      </c>
      <c r="C596" s="2">
        <v>44313</v>
      </c>
      <c r="D596" s="3">
        <v>222.8</v>
      </c>
    </row>
    <row r="597" spans="1:4" ht="14.7" hidden="1" thickBot="1" x14ac:dyDescent="0.6">
      <c r="A597" s="1" t="s">
        <v>21</v>
      </c>
      <c r="B597" t="str">
        <f>VLOOKUP(A597,'Area Breakdown'!$B$1:$C$33,2,)</f>
        <v>Heliopolis</v>
      </c>
      <c r="C597" s="2">
        <v>44313</v>
      </c>
      <c r="D597" s="3">
        <v>218.8</v>
      </c>
    </row>
    <row r="598" spans="1:4" ht="14.7" hidden="1" thickBot="1" x14ac:dyDescent="0.6">
      <c r="A598" s="1" t="s">
        <v>17</v>
      </c>
      <c r="B598" t="str">
        <f>VLOOKUP(A598,'Area Breakdown'!$B$1:$C$33,2,)</f>
        <v>Heliopolis</v>
      </c>
      <c r="C598" s="2">
        <v>44313</v>
      </c>
      <c r="D598" s="3">
        <v>203.60000000000002</v>
      </c>
    </row>
    <row r="599" spans="1:4" ht="14.7" hidden="1" thickBot="1" x14ac:dyDescent="0.6">
      <c r="A599" s="1" t="s">
        <v>23</v>
      </c>
      <c r="B599" t="str">
        <f>VLOOKUP(A599,'Area Breakdown'!$B$1:$C$33,2,)</f>
        <v>Heliopolis</v>
      </c>
      <c r="C599" s="2">
        <v>44313</v>
      </c>
      <c r="D599" s="3">
        <v>196.8</v>
      </c>
    </row>
    <row r="600" spans="1:4" ht="14.7" hidden="1" thickBot="1" x14ac:dyDescent="0.6">
      <c r="A600" s="1" t="s">
        <v>9</v>
      </c>
      <c r="B600" t="str">
        <f>VLOOKUP(A600,'Area Breakdown'!$B$1:$C$33,2,)</f>
        <v xml:space="preserve">Alexandria </v>
      </c>
      <c r="C600" s="2">
        <v>44313</v>
      </c>
      <c r="D600" s="3">
        <v>186.8</v>
      </c>
    </row>
    <row r="601" spans="1:4" ht="14.7" hidden="1" thickBot="1" x14ac:dyDescent="0.6">
      <c r="A601" s="1" t="s">
        <v>20</v>
      </c>
      <c r="B601" t="str">
        <f>VLOOKUP(A601,'Area Breakdown'!$B$1:$C$33,2,)</f>
        <v>Downtown</v>
      </c>
      <c r="C601" s="2">
        <v>44313</v>
      </c>
      <c r="D601" s="3">
        <v>183.60000000000002</v>
      </c>
    </row>
    <row r="602" spans="1:4" ht="14.7" hidden="1" thickBot="1" x14ac:dyDescent="0.6">
      <c r="A602" s="1" t="s">
        <v>19</v>
      </c>
      <c r="B602" t="str">
        <f>VLOOKUP(A602,'Area Breakdown'!$B$1:$C$33,2,)</f>
        <v>Downtown</v>
      </c>
      <c r="C602" s="2">
        <v>44313</v>
      </c>
      <c r="D602" s="3">
        <v>166.8</v>
      </c>
    </row>
    <row r="603" spans="1:4" ht="14.7" hidden="1" thickBot="1" x14ac:dyDescent="0.6">
      <c r="A603" s="1" t="s">
        <v>6</v>
      </c>
      <c r="B603" t="str">
        <f>VLOOKUP(A603,'Area Breakdown'!$B$1:$C$33,2,)</f>
        <v xml:space="preserve">Alexandria </v>
      </c>
      <c r="C603" s="2">
        <v>44313</v>
      </c>
      <c r="D603" s="3">
        <v>162.4</v>
      </c>
    </row>
    <row r="604" spans="1:4" ht="14.7" hidden="1" thickBot="1" x14ac:dyDescent="0.6">
      <c r="A604" s="1" t="s">
        <v>3</v>
      </c>
      <c r="B604" t="str">
        <f>VLOOKUP(A604,'Area Breakdown'!$B$1:$C$33,2,)</f>
        <v>Downtown</v>
      </c>
      <c r="C604" s="2">
        <v>44313</v>
      </c>
      <c r="D604" s="3">
        <v>136.80000000000001</v>
      </c>
    </row>
    <row r="605" spans="1:4" ht="14.7" hidden="1" thickBot="1" x14ac:dyDescent="0.6">
      <c r="A605" s="1" t="s">
        <v>4</v>
      </c>
      <c r="B605" t="str">
        <f>VLOOKUP(A605,'Area Breakdown'!$B$1:$C$33,2,)</f>
        <v>Downtown</v>
      </c>
      <c r="C605" s="2">
        <v>44313</v>
      </c>
      <c r="D605" s="3">
        <v>124.4</v>
      </c>
    </row>
    <row r="606" spans="1:4" ht="14.7" hidden="1" thickBot="1" x14ac:dyDescent="0.6">
      <c r="A606" s="1" t="s">
        <v>16</v>
      </c>
      <c r="B606" t="str">
        <f>VLOOKUP(A606,'Area Breakdown'!$B$1:$C$33,2,)</f>
        <v>Downtown</v>
      </c>
      <c r="C606" s="2">
        <v>44313</v>
      </c>
      <c r="D606" s="3">
        <v>105.60000000000001</v>
      </c>
    </row>
    <row r="607" spans="1:4" ht="14.7" hidden="1" thickBot="1" x14ac:dyDescent="0.6">
      <c r="A607" s="1" t="s">
        <v>1</v>
      </c>
      <c r="B607" t="str">
        <f>VLOOKUP(A607,'Area Breakdown'!$B$1:$C$33,2,)</f>
        <v>Downtown</v>
      </c>
      <c r="C607" s="2">
        <v>44313</v>
      </c>
      <c r="D607" s="3">
        <v>102.4</v>
      </c>
    </row>
    <row r="608" spans="1:4" ht="14.7" hidden="1" thickBot="1" x14ac:dyDescent="0.6">
      <c r="A608" s="1" t="s">
        <v>7</v>
      </c>
      <c r="B608" t="str">
        <f>VLOOKUP(A608,'Area Breakdown'!$B$1:$C$33,2,)</f>
        <v>October</v>
      </c>
      <c r="C608" s="2">
        <v>44313</v>
      </c>
      <c r="D608" s="3">
        <v>66</v>
      </c>
    </row>
    <row r="609" spans="1:4" ht="14.7" hidden="1" thickBot="1" x14ac:dyDescent="0.6">
      <c r="A609" s="1" t="s">
        <v>8</v>
      </c>
      <c r="B609" t="str">
        <f>VLOOKUP(A609,'Area Breakdown'!$B$1:$C$33,2,)</f>
        <v>Heliopolis</v>
      </c>
      <c r="C609" s="2">
        <v>44313</v>
      </c>
      <c r="D609" s="3">
        <v>61.2</v>
      </c>
    </row>
    <row r="610" spans="1:4" ht="14.7" hidden="1" thickBot="1" x14ac:dyDescent="0.6">
      <c r="A610" s="1" t="s">
        <v>15</v>
      </c>
      <c r="B610" t="str">
        <f>VLOOKUP(A610,'Area Breakdown'!$B$1:$C$33,2,)</f>
        <v>Heliopolis</v>
      </c>
      <c r="C610" s="2">
        <v>44313</v>
      </c>
      <c r="D610" s="3">
        <v>26</v>
      </c>
    </row>
    <row r="611" spans="1:4" ht="14.7" hidden="1" thickBot="1" x14ac:dyDescent="0.6">
      <c r="A611" s="1" t="s">
        <v>11</v>
      </c>
      <c r="B611" t="str">
        <f>VLOOKUP(A611,'Area Breakdown'!$B$1:$C$33,2,)</f>
        <v>New Cairo</v>
      </c>
      <c r="C611" s="2">
        <v>44313</v>
      </c>
      <c r="D611" s="3">
        <v>15.600000000000001</v>
      </c>
    </row>
    <row r="612" spans="1:4" ht="14.7" hidden="1" thickBot="1" x14ac:dyDescent="0.6">
      <c r="A612" s="1" t="s">
        <v>22</v>
      </c>
      <c r="B612" t="str">
        <f>VLOOKUP(A612,'Area Breakdown'!$B$1:$C$33,2,)</f>
        <v>Heliopolis</v>
      </c>
      <c r="C612" s="2">
        <v>44314</v>
      </c>
      <c r="D612" s="3">
        <v>530</v>
      </c>
    </row>
    <row r="613" spans="1:4" ht="14.7" hidden="1" thickBot="1" x14ac:dyDescent="0.6">
      <c r="A613" s="1" t="s">
        <v>12</v>
      </c>
      <c r="B613" t="str">
        <f>VLOOKUP(A613,'Area Breakdown'!$B$1:$C$33,2,)</f>
        <v>New Cairo</v>
      </c>
      <c r="C613" s="2">
        <v>44314</v>
      </c>
      <c r="D613" s="3">
        <v>506.8</v>
      </c>
    </row>
    <row r="614" spans="1:4" ht="14.7" hidden="1" thickBot="1" x14ac:dyDescent="0.6">
      <c r="A614" s="1" t="s">
        <v>0</v>
      </c>
      <c r="B614" t="str">
        <f>VLOOKUP(A614,'Area Breakdown'!$B$1:$C$33,2,)</f>
        <v>Downtown</v>
      </c>
      <c r="C614" s="2">
        <v>44314</v>
      </c>
      <c r="D614" s="3">
        <v>444.8</v>
      </c>
    </row>
    <row r="615" spans="1:4" ht="14.7" hidden="1" thickBot="1" x14ac:dyDescent="0.6">
      <c r="A615" s="1" t="s">
        <v>9</v>
      </c>
      <c r="B615" t="str">
        <f>VLOOKUP(A615,'Area Breakdown'!$B$1:$C$33,2,)</f>
        <v xml:space="preserve">Alexandria </v>
      </c>
      <c r="C615" s="2">
        <v>44314</v>
      </c>
      <c r="D615" s="3">
        <v>434.8</v>
      </c>
    </row>
    <row r="616" spans="1:4" ht="14.7" hidden="1" thickBot="1" x14ac:dyDescent="0.6">
      <c r="A616" s="1" t="s">
        <v>2</v>
      </c>
      <c r="B616" t="str">
        <f>VLOOKUP(A616,'Area Breakdown'!$B$1:$C$33,2,)</f>
        <v>Downtown</v>
      </c>
      <c r="C616" s="2">
        <v>44314</v>
      </c>
      <c r="D616" s="3">
        <v>392.40000000000003</v>
      </c>
    </row>
    <row r="617" spans="1:4" ht="14.7" hidden="1" thickBot="1" x14ac:dyDescent="0.6">
      <c r="A617" s="1" t="s">
        <v>17</v>
      </c>
      <c r="B617" t="str">
        <f>VLOOKUP(A617,'Area Breakdown'!$B$1:$C$33,2,)</f>
        <v>Heliopolis</v>
      </c>
      <c r="C617" s="2">
        <v>44314</v>
      </c>
      <c r="D617" s="3">
        <v>390.40000000000003</v>
      </c>
    </row>
    <row r="618" spans="1:4" ht="14.7" hidden="1" thickBot="1" x14ac:dyDescent="0.6">
      <c r="A618" s="1" t="s">
        <v>25</v>
      </c>
      <c r="B618" t="str">
        <f>VLOOKUP(A618,'Area Breakdown'!$B$1:$C$33,2,)</f>
        <v>October</v>
      </c>
      <c r="C618" s="2">
        <v>44314</v>
      </c>
      <c r="D618" s="3">
        <v>366</v>
      </c>
    </row>
    <row r="619" spans="1:4" ht="14.7" hidden="1" thickBot="1" x14ac:dyDescent="0.6">
      <c r="A619" s="1" t="s">
        <v>16</v>
      </c>
      <c r="B619" t="str">
        <f>VLOOKUP(A619,'Area Breakdown'!$B$1:$C$33,2,)</f>
        <v>Downtown</v>
      </c>
      <c r="C619" s="2">
        <v>44314</v>
      </c>
      <c r="D619" s="3">
        <v>342</v>
      </c>
    </row>
    <row r="620" spans="1:4" ht="14.7" hidden="1" thickBot="1" x14ac:dyDescent="0.6">
      <c r="A620" s="1" t="s">
        <v>10</v>
      </c>
      <c r="B620" t="str">
        <f>VLOOKUP(A620,'Area Breakdown'!$B$1:$C$33,2,)</f>
        <v xml:space="preserve">Alexandria </v>
      </c>
      <c r="C620" s="2">
        <v>44314</v>
      </c>
      <c r="D620" s="3">
        <v>306.8</v>
      </c>
    </row>
    <row r="621" spans="1:4" ht="14.7" hidden="1" thickBot="1" x14ac:dyDescent="0.6">
      <c r="A621" s="1" t="s">
        <v>20</v>
      </c>
      <c r="B621" t="str">
        <f>VLOOKUP(A621,'Area Breakdown'!$B$1:$C$33,2,)</f>
        <v>Downtown</v>
      </c>
      <c r="C621" s="2">
        <v>44314</v>
      </c>
      <c r="D621" s="3">
        <v>278.40000000000003</v>
      </c>
    </row>
    <row r="622" spans="1:4" ht="14.7" hidden="1" thickBot="1" x14ac:dyDescent="0.6">
      <c r="A622" s="1" t="s">
        <v>19</v>
      </c>
      <c r="B622" t="str">
        <f>VLOOKUP(A622,'Area Breakdown'!$B$1:$C$33,2,)</f>
        <v>Downtown</v>
      </c>
      <c r="C622" s="2">
        <v>44314</v>
      </c>
      <c r="D622" s="3">
        <v>274.40000000000003</v>
      </c>
    </row>
    <row r="623" spans="1:4" ht="14.7" hidden="1" thickBot="1" x14ac:dyDescent="0.6">
      <c r="A623" s="1" t="s">
        <v>27</v>
      </c>
      <c r="B623" t="str">
        <f>VLOOKUP(A623,'Area Breakdown'!$B$1:$C$33,2,)</f>
        <v xml:space="preserve">Alexandria </v>
      </c>
      <c r="C623" s="2">
        <v>44314</v>
      </c>
      <c r="D623" s="3">
        <v>240</v>
      </c>
    </row>
    <row r="624" spans="1:4" ht="14.7" hidden="1" thickBot="1" x14ac:dyDescent="0.6">
      <c r="A624" s="1" t="s">
        <v>21</v>
      </c>
      <c r="B624" t="str">
        <f>VLOOKUP(A624,'Area Breakdown'!$B$1:$C$33,2,)</f>
        <v>Heliopolis</v>
      </c>
      <c r="C624" s="2">
        <v>44314</v>
      </c>
      <c r="D624" s="3">
        <v>215.60000000000002</v>
      </c>
    </row>
    <row r="625" spans="1:4" ht="14.7" hidden="1" thickBot="1" x14ac:dyDescent="0.6">
      <c r="A625" s="1" t="s">
        <v>24</v>
      </c>
      <c r="B625" t="str">
        <f>VLOOKUP(A625,'Area Breakdown'!$B$1:$C$33,2,)</f>
        <v>October</v>
      </c>
      <c r="C625" s="2">
        <v>44314</v>
      </c>
      <c r="D625" s="3">
        <v>184</v>
      </c>
    </row>
    <row r="626" spans="1:4" ht="14.7" hidden="1" thickBot="1" x14ac:dyDescent="0.6">
      <c r="A626" s="1" t="s">
        <v>23</v>
      </c>
      <c r="B626" t="str">
        <f>VLOOKUP(A626,'Area Breakdown'!$B$1:$C$33,2,)</f>
        <v>Heliopolis</v>
      </c>
      <c r="C626" s="2">
        <v>44314</v>
      </c>
      <c r="D626" s="3">
        <v>160.80000000000001</v>
      </c>
    </row>
    <row r="627" spans="1:4" ht="14.7" hidden="1" thickBot="1" x14ac:dyDescent="0.6">
      <c r="A627" s="1" t="s">
        <v>3</v>
      </c>
      <c r="B627" t="str">
        <f>VLOOKUP(A627,'Area Breakdown'!$B$1:$C$33,2,)</f>
        <v>Downtown</v>
      </c>
      <c r="C627" s="2">
        <v>44314</v>
      </c>
      <c r="D627" s="3">
        <v>140.80000000000001</v>
      </c>
    </row>
    <row r="628" spans="1:4" ht="14.7" hidden="1" thickBot="1" x14ac:dyDescent="0.6">
      <c r="A628" s="1" t="s">
        <v>7</v>
      </c>
      <c r="B628" t="str">
        <f>VLOOKUP(A628,'Area Breakdown'!$B$1:$C$33,2,)</f>
        <v>October</v>
      </c>
      <c r="C628" s="2">
        <v>44314</v>
      </c>
      <c r="D628" s="3">
        <v>132.4</v>
      </c>
    </row>
    <row r="629" spans="1:4" ht="14.7" hidden="1" thickBot="1" x14ac:dyDescent="0.6">
      <c r="A629" s="1" t="s">
        <v>1</v>
      </c>
      <c r="B629" t="str">
        <f>VLOOKUP(A629,'Area Breakdown'!$B$1:$C$33,2,)</f>
        <v>Downtown</v>
      </c>
      <c r="C629" s="2">
        <v>44314</v>
      </c>
      <c r="D629" s="3">
        <v>89.2</v>
      </c>
    </row>
    <row r="630" spans="1:4" ht="14.7" hidden="1" thickBot="1" x14ac:dyDescent="0.6">
      <c r="A630" s="1" t="s">
        <v>11</v>
      </c>
      <c r="B630" t="str">
        <f>VLOOKUP(A630,'Area Breakdown'!$B$1:$C$33,2,)</f>
        <v>New Cairo</v>
      </c>
      <c r="C630" s="2">
        <v>44314</v>
      </c>
      <c r="D630" s="3">
        <v>72.8</v>
      </c>
    </row>
    <row r="631" spans="1:4" ht="14.7" hidden="1" thickBot="1" x14ac:dyDescent="0.6">
      <c r="A631" s="1" t="s">
        <v>6</v>
      </c>
      <c r="B631" t="str">
        <f>VLOOKUP(A631,'Area Breakdown'!$B$1:$C$33,2,)</f>
        <v xml:space="preserve">Alexandria </v>
      </c>
      <c r="C631" s="2">
        <v>44314</v>
      </c>
      <c r="D631" s="3">
        <v>53.2</v>
      </c>
    </row>
    <row r="632" spans="1:4" ht="14.7" hidden="1" thickBot="1" x14ac:dyDescent="0.6">
      <c r="A632" s="1" t="s">
        <v>13</v>
      </c>
      <c r="B632" t="str">
        <f>VLOOKUP(A632,'Area Breakdown'!$B$1:$C$33,2,)</f>
        <v>Heliopolis</v>
      </c>
      <c r="C632" s="2">
        <v>44314</v>
      </c>
      <c r="D632" s="3">
        <v>38</v>
      </c>
    </row>
    <row r="633" spans="1:4" ht="14.7" hidden="1" thickBot="1" x14ac:dyDescent="0.6">
      <c r="A633" s="1" t="s">
        <v>4</v>
      </c>
      <c r="B633" t="str">
        <f>VLOOKUP(A633,'Area Breakdown'!$B$1:$C$33,2,)</f>
        <v>Downtown</v>
      </c>
      <c r="C633" s="2">
        <v>44314</v>
      </c>
      <c r="D633" s="3">
        <v>31.6</v>
      </c>
    </row>
    <row r="634" spans="1:4" ht="14.7" hidden="1" thickBot="1" x14ac:dyDescent="0.6">
      <c r="A634" s="1" t="s">
        <v>22</v>
      </c>
      <c r="B634" t="str">
        <f>VLOOKUP(A634,'Area Breakdown'!$B$1:$C$33,2,)</f>
        <v>Heliopolis</v>
      </c>
      <c r="C634" s="2">
        <v>44315</v>
      </c>
      <c r="D634" s="3">
        <v>824.40000000000009</v>
      </c>
    </row>
    <row r="635" spans="1:4" ht="14.7" hidden="1" thickBot="1" x14ac:dyDescent="0.6">
      <c r="A635" s="1" t="s">
        <v>25</v>
      </c>
      <c r="B635" t="str">
        <f>VLOOKUP(A635,'Area Breakdown'!$B$1:$C$33,2,)</f>
        <v>October</v>
      </c>
      <c r="C635" s="2">
        <v>44315</v>
      </c>
      <c r="D635" s="3">
        <v>441.6</v>
      </c>
    </row>
    <row r="636" spans="1:4" ht="14.7" hidden="1" thickBot="1" x14ac:dyDescent="0.6">
      <c r="A636" s="1" t="s">
        <v>19</v>
      </c>
      <c r="B636" t="str">
        <f>VLOOKUP(A636,'Area Breakdown'!$B$1:$C$33,2,)</f>
        <v>Downtown</v>
      </c>
      <c r="C636" s="2">
        <v>44315</v>
      </c>
      <c r="D636" s="3">
        <v>440.40000000000003</v>
      </c>
    </row>
    <row r="637" spans="1:4" ht="14.7" hidden="1" thickBot="1" x14ac:dyDescent="0.6">
      <c r="A637" s="1" t="s">
        <v>12</v>
      </c>
      <c r="B637" t="str">
        <f>VLOOKUP(A637,'Area Breakdown'!$B$1:$C$33,2,)</f>
        <v>New Cairo</v>
      </c>
      <c r="C637" s="2">
        <v>44315</v>
      </c>
      <c r="D637" s="3">
        <v>421.6</v>
      </c>
    </row>
    <row r="638" spans="1:4" ht="14.7" hidden="1" thickBot="1" x14ac:dyDescent="0.6">
      <c r="A638" s="1" t="s">
        <v>2</v>
      </c>
      <c r="B638" t="str">
        <f>VLOOKUP(A638,'Area Breakdown'!$B$1:$C$33,2,)</f>
        <v>Downtown</v>
      </c>
      <c r="C638" s="2">
        <v>44315</v>
      </c>
      <c r="D638" s="3">
        <v>420</v>
      </c>
    </row>
    <row r="639" spans="1:4" ht="14.7" hidden="1" thickBot="1" x14ac:dyDescent="0.6">
      <c r="A639" s="1" t="s">
        <v>24</v>
      </c>
      <c r="B639" t="str">
        <f>VLOOKUP(A639,'Area Breakdown'!$B$1:$C$33,2,)</f>
        <v>October</v>
      </c>
      <c r="C639" s="2">
        <v>44315</v>
      </c>
      <c r="D639" s="3">
        <v>419.20000000000005</v>
      </c>
    </row>
    <row r="640" spans="1:4" ht="14.7" hidden="1" thickBot="1" x14ac:dyDescent="0.6">
      <c r="A640" s="1" t="s">
        <v>17</v>
      </c>
      <c r="B640" t="str">
        <f>VLOOKUP(A640,'Area Breakdown'!$B$1:$C$33,2,)</f>
        <v>Heliopolis</v>
      </c>
      <c r="C640" s="2">
        <v>44315</v>
      </c>
      <c r="D640" s="3">
        <v>346.40000000000003</v>
      </c>
    </row>
    <row r="641" spans="1:4" ht="14.7" hidden="1" thickBot="1" x14ac:dyDescent="0.6">
      <c r="A641" s="1" t="s">
        <v>20</v>
      </c>
      <c r="B641" t="str">
        <f>VLOOKUP(A641,'Area Breakdown'!$B$1:$C$33,2,)</f>
        <v>Downtown</v>
      </c>
      <c r="C641" s="2">
        <v>44315</v>
      </c>
      <c r="D641" s="3">
        <v>337.20000000000005</v>
      </c>
    </row>
    <row r="642" spans="1:4" ht="14.7" hidden="1" thickBot="1" x14ac:dyDescent="0.6">
      <c r="A642" s="1" t="s">
        <v>0</v>
      </c>
      <c r="B642" t="str">
        <f>VLOOKUP(A642,'Area Breakdown'!$B$1:$C$33,2,)</f>
        <v>Downtown</v>
      </c>
      <c r="C642" s="2">
        <v>44315</v>
      </c>
      <c r="D642" s="3">
        <v>318.8</v>
      </c>
    </row>
    <row r="643" spans="1:4" ht="14.7" hidden="1" thickBot="1" x14ac:dyDescent="0.6">
      <c r="A643" s="1" t="s">
        <v>9</v>
      </c>
      <c r="B643" t="str">
        <f>VLOOKUP(A643,'Area Breakdown'!$B$1:$C$33,2,)</f>
        <v xml:space="preserve">Alexandria </v>
      </c>
      <c r="C643" s="2">
        <v>44315</v>
      </c>
      <c r="D643" s="3">
        <v>308.8</v>
      </c>
    </row>
    <row r="644" spans="1:4" ht="14.7" hidden="1" thickBot="1" x14ac:dyDescent="0.6">
      <c r="A644" s="1" t="s">
        <v>10</v>
      </c>
      <c r="B644" t="str">
        <f>VLOOKUP(A644,'Area Breakdown'!$B$1:$C$33,2,)</f>
        <v xml:space="preserve">Alexandria </v>
      </c>
      <c r="C644" s="2">
        <v>44315</v>
      </c>
      <c r="D644" s="3">
        <v>201.20000000000002</v>
      </c>
    </row>
    <row r="645" spans="1:4" ht="14.7" hidden="1" thickBot="1" x14ac:dyDescent="0.6">
      <c r="A645" s="1" t="s">
        <v>1</v>
      </c>
      <c r="B645" t="str">
        <f>VLOOKUP(A645,'Area Breakdown'!$B$1:$C$33,2,)</f>
        <v>Downtown</v>
      </c>
      <c r="C645" s="2">
        <v>44315</v>
      </c>
      <c r="D645" s="3">
        <v>186</v>
      </c>
    </row>
    <row r="646" spans="1:4" ht="14.7" hidden="1" thickBot="1" x14ac:dyDescent="0.6">
      <c r="A646" s="1" t="s">
        <v>4</v>
      </c>
      <c r="B646" t="str">
        <f>VLOOKUP(A646,'Area Breakdown'!$B$1:$C$33,2,)</f>
        <v>Downtown</v>
      </c>
      <c r="C646" s="2">
        <v>44315</v>
      </c>
      <c r="D646" s="3">
        <v>174.8</v>
      </c>
    </row>
    <row r="647" spans="1:4" ht="14.7" hidden="1" thickBot="1" x14ac:dyDescent="0.6">
      <c r="A647" s="1" t="s">
        <v>16</v>
      </c>
      <c r="B647" t="str">
        <f>VLOOKUP(A647,'Area Breakdown'!$B$1:$C$33,2,)</f>
        <v>Downtown</v>
      </c>
      <c r="C647" s="2">
        <v>44315</v>
      </c>
      <c r="D647" s="3">
        <v>148</v>
      </c>
    </row>
    <row r="648" spans="1:4" ht="14.7" hidden="1" thickBot="1" x14ac:dyDescent="0.6">
      <c r="A648" s="1" t="s">
        <v>6</v>
      </c>
      <c r="B648" t="str">
        <f>VLOOKUP(A648,'Area Breakdown'!$B$1:$C$33,2,)</f>
        <v xml:space="preserve">Alexandria </v>
      </c>
      <c r="C648" s="2">
        <v>44315</v>
      </c>
      <c r="D648" s="3">
        <v>146</v>
      </c>
    </row>
    <row r="649" spans="1:4" ht="14.7" hidden="1" thickBot="1" x14ac:dyDescent="0.6">
      <c r="A649" s="1" t="s">
        <v>21</v>
      </c>
      <c r="B649" t="str">
        <f>VLOOKUP(A649,'Area Breakdown'!$B$1:$C$33,2,)</f>
        <v>Heliopolis</v>
      </c>
      <c r="C649" s="2">
        <v>44315</v>
      </c>
      <c r="D649" s="3">
        <v>115.2</v>
      </c>
    </row>
    <row r="650" spans="1:4" ht="14.7" hidden="1" thickBot="1" x14ac:dyDescent="0.6">
      <c r="A650" s="1" t="s">
        <v>23</v>
      </c>
      <c r="B650" t="str">
        <f>VLOOKUP(A650,'Area Breakdown'!$B$1:$C$33,2,)</f>
        <v>Heliopolis</v>
      </c>
      <c r="C650" s="2">
        <v>44315</v>
      </c>
      <c r="D650" s="3">
        <v>115.2</v>
      </c>
    </row>
    <row r="651" spans="1:4" ht="14.7" hidden="1" thickBot="1" x14ac:dyDescent="0.6">
      <c r="A651" s="1" t="s">
        <v>3</v>
      </c>
      <c r="B651" t="str">
        <f>VLOOKUP(A651,'Area Breakdown'!$B$1:$C$33,2,)</f>
        <v>Downtown</v>
      </c>
      <c r="C651" s="2">
        <v>44315</v>
      </c>
      <c r="D651" s="3">
        <v>81.2</v>
      </c>
    </row>
    <row r="652" spans="1:4" ht="14.7" hidden="1" thickBot="1" x14ac:dyDescent="0.6">
      <c r="A652" s="1" t="s">
        <v>27</v>
      </c>
      <c r="B652" t="str">
        <f>VLOOKUP(A652,'Area Breakdown'!$B$1:$C$33,2,)</f>
        <v xml:space="preserve">Alexandria </v>
      </c>
      <c r="C652" s="2">
        <v>44315</v>
      </c>
      <c r="D652" s="3">
        <v>79.2</v>
      </c>
    </row>
    <row r="653" spans="1:4" ht="14.7" hidden="1" thickBot="1" x14ac:dyDescent="0.6">
      <c r="A653" s="1" t="s">
        <v>13</v>
      </c>
      <c r="B653" t="str">
        <f>VLOOKUP(A653,'Area Breakdown'!$B$1:$C$33,2,)</f>
        <v>Heliopolis</v>
      </c>
      <c r="C653" s="2">
        <v>44315</v>
      </c>
      <c r="D653" s="3">
        <v>77.2</v>
      </c>
    </row>
    <row r="654" spans="1:4" ht="14.7" hidden="1" thickBot="1" x14ac:dyDescent="0.6">
      <c r="A654" s="1" t="s">
        <v>7</v>
      </c>
      <c r="B654" t="str">
        <f>VLOOKUP(A654,'Area Breakdown'!$B$1:$C$33,2,)</f>
        <v>October</v>
      </c>
      <c r="C654" s="2">
        <v>44315</v>
      </c>
      <c r="D654" s="3">
        <v>54.400000000000006</v>
      </c>
    </row>
    <row r="655" spans="1:4" ht="14.7" hidden="1" thickBot="1" x14ac:dyDescent="0.6">
      <c r="A655" s="1" t="s">
        <v>15</v>
      </c>
      <c r="B655" t="str">
        <f>VLOOKUP(A655,'Area Breakdown'!$B$1:$C$33,2,)</f>
        <v>Heliopolis</v>
      </c>
      <c r="C655" s="2">
        <v>44315</v>
      </c>
      <c r="D655" s="3">
        <v>50.800000000000004</v>
      </c>
    </row>
    <row r="656" spans="1:4" ht="14.7" hidden="1" thickBot="1" x14ac:dyDescent="0.6">
      <c r="A656" s="1" t="s">
        <v>11</v>
      </c>
      <c r="B656" t="str">
        <f>VLOOKUP(A656,'Area Breakdown'!$B$1:$C$33,2,)</f>
        <v>New Cairo</v>
      </c>
      <c r="C656" s="2">
        <v>44315</v>
      </c>
      <c r="D656" s="3">
        <v>30</v>
      </c>
    </row>
    <row r="657" spans="1:4" ht="14.7" hidden="1" thickBot="1" x14ac:dyDescent="0.6">
      <c r="A657" s="1" t="s">
        <v>12</v>
      </c>
      <c r="B657" t="str">
        <f>VLOOKUP(A657,'Area Breakdown'!$B$1:$C$33,2,)</f>
        <v>New Cairo</v>
      </c>
      <c r="C657" s="2">
        <v>44316</v>
      </c>
      <c r="D657" s="3">
        <v>614.40000000000009</v>
      </c>
    </row>
    <row r="658" spans="1:4" ht="14.7" hidden="1" thickBot="1" x14ac:dyDescent="0.6">
      <c r="A658" s="1" t="s">
        <v>22</v>
      </c>
      <c r="B658" t="str">
        <f>VLOOKUP(A658,'Area Breakdown'!$B$1:$C$33,2,)</f>
        <v>Heliopolis</v>
      </c>
      <c r="C658" s="2">
        <v>44316</v>
      </c>
      <c r="D658" s="3">
        <v>486.40000000000003</v>
      </c>
    </row>
    <row r="659" spans="1:4" ht="14.7" hidden="1" thickBot="1" x14ac:dyDescent="0.6">
      <c r="A659" s="1" t="s">
        <v>20</v>
      </c>
      <c r="B659" t="str">
        <f>VLOOKUP(A659,'Area Breakdown'!$B$1:$C$33,2,)</f>
        <v>Downtown</v>
      </c>
      <c r="C659" s="2">
        <v>44316</v>
      </c>
      <c r="D659" s="3">
        <v>406.40000000000003</v>
      </c>
    </row>
    <row r="660" spans="1:4" ht="14.7" hidden="1" thickBot="1" x14ac:dyDescent="0.6">
      <c r="A660" s="1" t="s">
        <v>25</v>
      </c>
      <c r="B660" t="str">
        <f>VLOOKUP(A660,'Area Breakdown'!$B$1:$C$33,2,)</f>
        <v>October</v>
      </c>
      <c r="C660" s="2">
        <v>44316</v>
      </c>
      <c r="D660" s="3">
        <v>375.20000000000005</v>
      </c>
    </row>
    <row r="661" spans="1:4" ht="14.7" hidden="1" thickBot="1" x14ac:dyDescent="0.6">
      <c r="A661" s="1" t="s">
        <v>19</v>
      </c>
      <c r="B661" t="str">
        <f>VLOOKUP(A661,'Area Breakdown'!$B$1:$C$33,2,)</f>
        <v>Downtown</v>
      </c>
      <c r="C661" s="2">
        <v>44316</v>
      </c>
      <c r="D661" s="3">
        <v>370.8</v>
      </c>
    </row>
    <row r="662" spans="1:4" ht="14.7" hidden="1" thickBot="1" x14ac:dyDescent="0.6">
      <c r="A662" s="1" t="s">
        <v>10</v>
      </c>
      <c r="B662" t="str">
        <f>VLOOKUP(A662,'Area Breakdown'!$B$1:$C$33,2,)</f>
        <v xml:space="preserve">Alexandria </v>
      </c>
      <c r="C662" s="2">
        <v>44316</v>
      </c>
      <c r="D662" s="3">
        <v>306.40000000000003</v>
      </c>
    </row>
    <row r="663" spans="1:4" ht="14.7" hidden="1" thickBot="1" x14ac:dyDescent="0.6">
      <c r="A663" s="1" t="s">
        <v>17</v>
      </c>
      <c r="B663" t="str">
        <f>VLOOKUP(A663,'Area Breakdown'!$B$1:$C$33,2,)</f>
        <v>Heliopolis</v>
      </c>
      <c r="C663" s="2">
        <v>44316</v>
      </c>
      <c r="D663" s="3">
        <v>305.60000000000002</v>
      </c>
    </row>
    <row r="664" spans="1:4" ht="14.7" hidden="1" thickBot="1" x14ac:dyDescent="0.6">
      <c r="A664" s="1" t="s">
        <v>21</v>
      </c>
      <c r="B664" t="str">
        <f>VLOOKUP(A664,'Area Breakdown'!$B$1:$C$33,2,)</f>
        <v>Heliopolis</v>
      </c>
      <c r="C664" s="2">
        <v>44316</v>
      </c>
      <c r="D664" s="3">
        <v>216</v>
      </c>
    </row>
    <row r="665" spans="1:4" ht="14.7" hidden="1" thickBot="1" x14ac:dyDescent="0.6">
      <c r="A665" s="1" t="s">
        <v>16</v>
      </c>
      <c r="B665" t="str">
        <f>VLOOKUP(A665,'Area Breakdown'!$B$1:$C$33,2,)</f>
        <v>Downtown</v>
      </c>
      <c r="C665" s="2">
        <v>44316</v>
      </c>
      <c r="D665" s="3">
        <v>213.60000000000002</v>
      </c>
    </row>
    <row r="666" spans="1:4" ht="14.7" hidden="1" thickBot="1" x14ac:dyDescent="0.6">
      <c r="A666" s="1" t="s">
        <v>0</v>
      </c>
      <c r="B666" t="str">
        <f>VLOOKUP(A666,'Area Breakdown'!$B$1:$C$33,2,)</f>
        <v>Downtown</v>
      </c>
      <c r="C666" s="2">
        <v>44316</v>
      </c>
      <c r="D666" s="3">
        <v>213.20000000000002</v>
      </c>
    </row>
    <row r="667" spans="1:4" ht="14.7" hidden="1" thickBot="1" x14ac:dyDescent="0.6">
      <c r="A667" s="1" t="s">
        <v>2</v>
      </c>
      <c r="B667" t="str">
        <f>VLOOKUP(A667,'Area Breakdown'!$B$1:$C$33,2,)</f>
        <v>Downtown</v>
      </c>
      <c r="C667" s="2">
        <v>44316</v>
      </c>
      <c r="D667" s="3">
        <v>204.8</v>
      </c>
    </row>
    <row r="668" spans="1:4" ht="14.7" hidden="1" thickBot="1" x14ac:dyDescent="0.6">
      <c r="A668" s="1" t="s">
        <v>9</v>
      </c>
      <c r="B668" t="str">
        <f>VLOOKUP(A668,'Area Breakdown'!$B$1:$C$33,2,)</f>
        <v xml:space="preserve">Alexandria </v>
      </c>
      <c r="C668" s="2">
        <v>44316</v>
      </c>
      <c r="D668" s="3">
        <v>201.20000000000002</v>
      </c>
    </row>
    <row r="669" spans="1:4" ht="14.7" hidden="1" thickBot="1" x14ac:dyDescent="0.6">
      <c r="A669" s="1" t="s">
        <v>1</v>
      </c>
      <c r="B669" t="str">
        <f>VLOOKUP(A669,'Area Breakdown'!$B$1:$C$33,2,)</f>
        <v>Downtown</v>
      </c>
      <c r="C669" s="2">
        <v>44316</v>
      </c>
      <c r="D669" s="3">
        <v>195.20000000000002</v>
      </c>
    </row>
    <row r="670" spans="1:4" ht="14.7" hidden="1" thickBot="1" x14ac:dyDescent="0.6">
      <c r="A670" s="1" t="s">
        <v>24</v>
      </c>
      <c r="B670" t="str">
        <f>VLOOKUP(A670,'Area Breakdown'!$B$1:$C$33,2,)</f>
        <v>October</v>
      </c>
      <c r="C670" s="2">
        <v>44316</v>
      </c>
      <c r="D670" s="3">
        <v>184.4</v>
      </c>
    </row>
    <row r="671" spans="1:4" ht="14.7" hidden="1" thickBot="1" x14ac:dyDescent="0.6">
      <c r="A671" s="1" t="s">
        <v>3</v>
      </c>
      <c r="B671" t="str">
        <f>VLOOKUP(A671,'Area Breakdown'!$B$1:$C$33,2,)</f>
        <v>Downtown</v>
      </c>
      <c r="C671" s="2">
        <v>44316</v>
      </c>
      <c r="D671" s="3">
        <v>182.4</v>
      </c>
    </row>
    <row r="672" spans="1:4" ht="14.7" hidden="1" thickBot="1" x14ac:dyDescent="0.6">
      <c r="A672" s="1" t="s">
        <v>6</v>
      </c>
      <c r="B672" t="str">
        <f>VLOOKUP(A672,'Area Breakdown'!$B$1:$C$33,2,)</f>
        <v xml:space="preserve">Alexandria </v>
      </c>
      <c r="C672" s="2">
        <v>44316</v>
      </c>
      <c r="D672" s="3">
        <v>156.80000000000001</v>
      </c>
    </row>
    <row r="673" spans="1:4" ht="14.7" hidden="1" thickBot="1" x14ac:dyDescent="0.6">
      <c r="A673" s="1" t="s">
        <v>7</v>
      </c>
      <c r="B673" t="str">
        <f>VLOOKUP(A673,'Area Breakdown'!$B$1:$C$33,2,)</f>
        <v>October</v>
      </c>
      <c r="C673" s="2">
        <v>44316</v>
      </c>
      <c r="D673" s="3">
        <v>106.4</v>
      </c>
    </row>
    <row r="674" spans="1:4" ht="14.7" hidden="1" thickBot="1" x14ac:dyDescent="0.6">
      <c r="A674" s="1" t="s">
        <v>4</v>
      </c>
      <c r="B674" t="str">
        <f>VLOOKUP(A674,'Area Breakdown'!$B$1:$C$33,2,)</f>
        <v>Downtown</v>
      </c>
      <c r="C674" s="2">
        <v>44316</v>
      </c>
      <c r="D674" s="3">
        <v>100.80000000000001</v>
      </c>
    </row>
    <row r="675" spans="1:4" ht="14.7" hidden="1" thickBot="1" x14ac:dyDescent="0.6">
      <c r="A675" s="1" t="s">
        <v>27</v>
      </c>
      <c r="B675" t="str">
        <f>VLOOKUP(A675,'Area Breakdown'!$B$1:$C$33,2,)</f>
        <v xml:space="preserve">Alexandria </v>
      </c>
      <c r="C675" s="2">
        <v>44316</v>
      </c>
      <c r="D675" s="3">
        <v>84.800000000000011</v>
      </c>
    </row>
    <row r="676" spans="1:4" ht="14.7" hidden="1" thickBot="1" x14ac:dyDescent="0.6">
      <c r="A676" s="1" t="s">
        <v>13</v>
      </c>
      <c r="B676" t="str">
        <f>VLOOKUP(A676,'Area Breakdown'!$B$1:$C$33,2,)</f>
        <v>Heliopolis</v>
      </c>
      <c r="C676" s="2">
        <v>44316</v>
      </c>
      <c r="D676" s="3">
        <v>66.8</v>
      </c>
    </row>
    <row r="677" spans="1:4" ht="14.7" hidden="1" thickBot="1" x14ac:dyDescent="0.6">
      <c r="A677" s="1" t="s">
        <v>15</v>
      </c>
      <c r="B677" t="str">
        <f>VLOOKUP(A677,'Area Breakdown'!$B$1:$C$33,2,)</f>
        <v>Heliopolis</v>
      </c>
      <c r="C677" s="2">
        <v>44316</v>
      </c>
      <c r="D677" s="3">
        <v>58.400000000000006</v>
      </c>
    </row>
    <row r="678" spans="1:4" ht="14.7" hidden="1" thickBot="1" x14ac:dyDescent="0.6">
      <c r="A678" s="1" t="s">
        <v>23</v>
      </c>
      <c r="B678" t="str">
        <f>VLOOKUP(A678,'Area Breakdown'!$B$1:$C$33,2,)</f>
        <v>Heliopolis</v>
      </c>
      <c r="C678" s="2">
        <v>44316</v>
      </c>
      <c r="D678" s="3">
        <v>54.400000000000006</v>
      </c>
    </row>
    <row r="679" spans="1:4" ht="14.7" hidden="1" thickBot="1" x14ac:dyDescent="0.6">
      <c r="A679" s="1" t="s">
        <v>8</v>
      </c>
      <c r="B679" t="str">
        <f>VLOOKUP(A679,'Area Breakdown'!$B$1:$C$33,2,)</f>
        <v>Heliopolis</v>
      </c>
      <c r="C679" s="2">
        <v>44316</v>
      </c>
      <c r="D679" s="3">
        <v>41.6</v>
      </c>
    </row>
    <row r="680" spans="1:4" ht="14.7" hidden="1" thickBot="1" x14ac:dyDescent="0.6">
      <c r="A680" s="1" t="s">
        <v>11</v>
      </c>
      <c r="B680" t="str">
        <f>VLOOKUP(A680,'Area Breakdown'!$B$1:$C$33,2,)</f>
        <v>New Cairo</v>
      </c>
      <c r="C680" s="2">
        <v>44316</v>
      </c>
      <c r="D680" s="3">
        <v>35.6</v>
      </c>
    </row>
    <row r="681" spans="1:4" ht="14.7" thickBot="1" x14ac:dyDescent="0.6">
      <c r="A681" s="1" t="s">
        <v>22</v>
      </c>
      <c r="B681" t="str">
        <f>VLOOKUP(A681,'Area Breakdown'!$B$1:$C$33,2,)</f>
        <v>Heliopolis</v>
      </c>
      <c r="C681" s="2">
        <v>44317</v>
      </c>
      <c r="D681" s="3">
        <v>927.2</v>
      </c>
    </row>
    <row r="682" spans="1:4" ht="14.7" thickBot="1" x14ac:dyDescent="0.6">
      <c r="A682" s="1" t="s">
        <v>12</v>
      </c>
      <c r="B682" t="str">
        <f>VLOOKUP(A682,'Area Breakdown'!$B$1:$C$33,2,)</f>
        <v>New Cairo</v>
      </c>
      <c r="C682" s="2">
        <v>44317</v>
      </c>
      <c r="D682" s="3">
        <v>661.2</v>
      </c>
    </row>
    <row r="683" spans="1:4" ht="14.7" thickBot="1" x14ac:dyDescent="0.6">
      <c r="A683" s="1" t="s">
        <v>25</v>
      </c>
      <c r="B683" t="str">
        <f>VLOOKUP(A683,'Area Breakdown'!$B$1:$C$33,2,)</f>
        <v>October</v>
      </c>
      <c r="C683" s="2">
        <v>44317</v>
      </c>
      <c r="D683" s="3">
        <v>432.40000000000003</v>
      </c>
    </row>
    <row r="684" spans="1:4" ht="14.7" thickBot="1" x14ac:dyDescent="0.6">
      <c r="A684" s="1" t="s">
        <v>19</v>
      </c>
      <c r="B684" t="str">
        <f>VLOOKUP(A684,'Area Breakdown'!$B$1:$C$33,2,)</f>
        <v>Downtown</v>
      </c>
      <c r="C684" s="2">
        <v>44317</v>
      </c>
      <c r="D684" s="3">
        <v>370.8</v>
      </c>
    </row>
    <row r="685" spans="1:4" ht="14.7" thickBot="1" x14ac:dyDescent="0.6">
      <c r="A685" s="1" t="s">
        <v>23</v>
      </c>
      <c r="B685" t="str">
        <f>VLOOKUP(A685,'Area Breakdown'!$B$1:$C$33,2,)</f>
        <v>Heliopolis</v>
      </c>
      <c r="C685" s="2">
        <v>44317</v>
      </c>
      <c r="D685" s="3">
        <v>308</v>
      </c>
    </row>
    <row r="686" spans="1:4" ht="14.7" thickBot="1" x14ac:dyDescent="0.6">
      <c r="A686" s="1" t="s">
        <v>9</v>
      </c>
      <c r="B686" t="str">
        <f>VLOOKUP(A686,'Area Breakdown'!$B$1:$C$33,2,)</f>
        <v xml:space="preserve">Alexandria </v>
      </c>
      <c r="C686" s="2">
        <v>44317</v>
      </c>
      <c r="D686" s="3">
        <v>291.60000000000002</v>
      </c>
    </row>
    <row r="687" spans="1:4" ht="14.7" thickBot="1" x14ac:dyDescent="0.6">
      <c r="A687" s="1" t="s">
        <v>16</v>
      </c>
      <c r="B687" t="str">
        <f>VLOOKUP(A687,'Area Breakdown'!$B$1:$C$33,2,)</f>
        <v>Downtown</v>
      </c>
      <c r="C687" s="2">
        <v>44317</v>
      </c>
      <c r="D687" s="3">
        <v>258.8</v>
      </c>
    </row>
    <row r="688" spans="1:4" ht="14.7" thickBot="1" x14ac:dyDescent="0.6">
      <c r="A688" s="1" t="s">
        <v>10</v>
      </c>
      <c r="B688" t="str">
        <f>VLOOKUP(A688,'Area Breakdown'!$B$1:$C$33,2,)</f>
        <v xml:space="preserve">Alexandria </v>
      </c>
      <c r="C688" s="2">
        <v>44317</v>
      </c>
      <c r="D688" s="3">
        <v>250.8</v>
      </c>
    </row>
    <row r="689" spans="1:4" ht="14.7" thickBot="1" x14ac:dyDescent="0.6">
      <c r="A689" s="1" t="s">
        <v>0</v>
      </c>
      <c r="B689" t="str">
        <f>VLOOKUP(A689,'Area Breakdown'!$B$1:$C$33,2,)</f>
        <v>Downtown</v>
      </c>
      <c r="C689" s="2">
        <v>44317</v>
      </c>
      <c r="D689" s="3">
        <v>234.4</v>
      </c>
    </row>
    <row r="690" spans="1:4" ht="14.7" thickBot="1" x14ac:dyDescent="0.6">
      <c r="A690" s="1" t="s">
        <v>1</v>
      </c>
      <c r="B690" t="str">
        <f>VLOOKUP(A690,'Area Breakdown'!$B$1:$C$33,2,)</f>
        <v>Downtown</v>
      </c>
      <c r="C690" s="2">
        <v>44317</v>
      </c>
      <c r="D690" s="3">
        <v>211.20000000000002</v>
      </c>
    </row>
    <row r="691" spans="1:4" ht="14.7" thickBot="1" x14ac:dyDescent="0.6">
      <c r="A691" s="1" t="s">
        <v>6</v>
      </c>
      <c r="B691" t="str">
        <f>VLOOKUP(A691,'Area Breakdown'!$B$1:$C$33,2,)</f>
        <v xml:space="preserve">Alexandria </v>
      </c>
      <c r="C691" s="2">
        <v>44317</v>
      </c>
      <c r="D691" s="3">
        <v>201.60000000000002</v>
      </c>
    </row>
    <row r="692" spans="1:4" ht="14.7" thickBot="1" x14ac:dyDescent="0.6">
      <c r="A692" s="1" t="s">
        <v>24</v>
      </c>
      <c r="B692" t="str">
        <f>VLOOKUP(A692,'Area Breakdown'!$B$1:$C$33,2,)</f>
        <v>October</v>
      </c>
      <c r="C692" s="2">
        <v>44317</v>
      </c>
      <c r="D692" s="3">
        <v>192.8</v>
      </c>
    </row>
    <row r="693" spans="1:4" ht="14.7" thickBot="1" x14ac:dyDescent="0.6">
      <c r="A693" s="1" t="s">
        <v>17</v>
      </c>
      <c r="B693" t="str">
        <f>VLOOKUP(A693,'Area Breakdown'!$B$1:$C$33,2,)</f>
        <v>Heliopolis</v>
      </c>
      <c r="C693" s="2">
        <v>44317</v>
      </c>
      <c r="D693" s="3">
        <v>176</v>
      </c>
    </row>
    <row r="694" spans="1:4" ht="14.7" thickBot="1" x14ac:dyDescent="0.6">
      <c r="A694" s="1" t="s">
        <v>2</v>
      </c>
      <c r="B694" t="str">
        <f>VLOOKUP(A694,'Area Breakdown'!$B$1:$C$33,2,)</f>
        <v>Downtown</v>
      </c>
      <c r="C694" s="2">
        <v>44317</v>
      </c>
      <c r="D694" s="3">
        <v>164.8</v>
      </c>
    </row>
    <row r="695" spans="1:4" ht="14.7" thickBot="1" x14ac:dyDescent="0.6">
      <c r="A695" s="1" t="s">
        <v>20</v>
      </c>
      <c r="B695" t="str">
        <f>VLOOKUP(A695,'Area Breakdown'!$B$1:$C$33,2,)</f>
        <v>Downtown</v>
      </c>
      <c r="C695" s="2">
        <v>44317</v>
      </c>
      <c r="D695" s="3">
        <v>163.60000000000002</v>
      </c>
    </row>
    <row r="696" spans="1:4" ht="14.7" thickBot="1" x14ac:dyDescent="0.6">
      <c r="A696" s="1" t="s">
        <v>21</v>
      </c>
      <c r="B696" t="str">
        <f>VLOOKUP(A696,'Area Breakdown'!$B$1:$C$33,2,)</f>
        <v>Heliopolis</v>
      </c>
      <c r="C696" s="2">
        <v>44317</v>
      </c>
      <c r="D696" s="3">
        <v>148.80000000000001</v>
      </c>
    </row>
    <row r="697" spans="1:4" ht="14.7" thickBot="1" x14ac:dyDescent="0.6">
      <c r="A697" s="1" t="s">
        <v>8</v>
      </c>
      <c r="B697" t="str">
        <f>VLOOKUP(A697,'Area Breakdown'!$B$1:$C$33,2,)</f>
        <v>Heliopolis</v>
      </c>
      <c r="C697" s="2">
        <v>44317</v>
      </c>
      <c r="D697" s="3">
        <v>126.80000000000001</v>
      </c>
    </row>
    <row r="698" spans="1:4" ht="14.7" thickBot="1" x14ac:dyDescent="0.6">
      <c r="A698" s="1" t="s">
        <v>27</v>
      </c>
      <c r="B698" t="str">
        <f>VLOOKUP(A698,'Area Breakdown'!$B$1:$C$33,2,)</f>
        <v xml:space="preserve">Alexandria </v>
      </c>
      <c r="C698" s="2">
        <v>44317</v>
      </c>
      <c r="D698" s="3">
        <v>88</v>
      </c>
    </row>
    <row r="699" spans="1:4" ht="14.7" thickBot="1" x14ac:dyDescent="0.6">
      <c r="A699" s="1" t="s">
        <v>3</v>
      </c>
      <c r="B699" t="str">
        <f>VLOOKUP(A699,'Area Breakdown'!$B$1:$C$33,2,)</f>
        <v>Downtown</v>
      </c>
      <c r="C699" s="2">
        <v>44317</v>
      </c>
      <c r="D699" s="3">
        <v>66</v>
      </c>
    </row>
    <row r="700" spans="1:4" ht="14.7" thickBot="1" x14ac:dyDescent="0.6">
      <c r="A700" s="1" t="s">
        <v>13</v>
      </c>
      <c r="B700" t="str">
        <f>VLOOKUP(A700,'Area Breakdown'!$B$1:$C$33,2,)</f>
        <v>Heliopolis</v>
      </c>
      <c r="C700" s="2">
        <v>44317</v>
      </c>
      <c r="D700" s="3">
        <v>58</v>
      </c>
    </row>
    <row r="701" spans="1:4" ht="14.7" thickBot="1" x14ac:dyDescent="0.6">
      <c r="A701" s="1" t="s">
        <v>15</v>
      </c>
      <c r="B701" t="str">
        <f>VLOOKUP(A701,'Area Breakdown'!$B$1:$C$33,2,)</f>
        <v>Heliopolis</v>
      </c>
      <c r="C701" s="2">
        <v>44317</v>
      </c>
      <c r="D701" s="3">
        <v>52.800000000000004</v>
      </c>
    </row>
    <row r="702" spans="1:4" ht="14.7" thickBot="1" x14ac:dyDescent="0.6">
      <c r="A702" s="1" t="s">
        <v>11</v>
      </c>
      <c r="B702" t="str">
        <f>VLOOKUP(A702,'Area Breakdown'!$B$1:$C$33,2,)</f>
        <v>New Cairo</v>
      </c>
      <c r="C702" s="2">
        <v>44317</v>
      </c>
      <c r="D702" s="3">
        <v>47.2</v>
      </c>
    </row>
    <row r="703" spans="1:4" ht="14.7" thickBot="1" x14ac:dyDescent="0.6">
      <c r="A703" s="1" t="s">
        <v>4</v>
      </c>
      <c r="B703" t="str">
        <f>VLOOKUP(A703,'Area Breakdown'!$B$1:$C$33,2,)</f>
        <v>Downtown</v>
      </c>
      <c r="C703" s="2">
        <v>44317</v>
      </c>
      <c r="D703" s="3">
        <v>38.400000000000006</v>
      </c>
    </row>
    <row r="704" spans="1:4" ht="14.7" thickBot="1" x14ac:dyDescent="0.6">
      <c r="A704" s="1" t="s">
        <v>7</v>
      </c>
      <c r="B704" t="str">
        <f>VLOOKUP(A704,'Area Breakdown'!$B$1:$C$33,2,)</f>
        <v>October</v>
      </c>
      <c r="C704" s="2">
        <v>44317</v>
      </c>
      <c r="D704" s="3">
        <v>35.6</v>
      </c>
    </row>
    <row r="705" spans="1:4" ht="14.7" thickBot="1" x14ac:dyDescent="0.6">
      <c r="A705" s="1" t="s">
        <v>12</v>
      </c>
      <c r="B705" t="str">
        <f>VLOOKUP(A705,'Area Breakdown'!$B$1:$C$33,2,)</f>
        <v>New Cairo</v>
      </c>
      <c r="C705" s="2">
        <v>44318</v>
      </c>
      <c r="D705" s="3">
        <v>668.80000000000007</v>
      </c>
    </row>
    <row r="706" spans="1:4" ht="14.7" thickBot="1" x14ac:dyDescent="0.6">
      <c r="A706" s="1" t="s">
        <v>22</v>
      </c>
      <c r="B706" t="str">
        <f>VLOOKUP(A706,'Area Breakdown'!$B$1:$C$33,2,)</f>
        <v>Heliopolis</v>
      </c>
      <c r="C706" s="2">
        <v>44318</v>
      </c>
      <c r="D706" s="3">
        <v>578.80000000000007</v>
      </c>
    </row>
    <row r="707" spans="1:4" ht="14.7" thickBot="1" x14ac:dyDescent="0.6">
      <c r="A707" s="1" t="s">
        <v>16</v>
      </c>
      <c r="B707" t="str">
        <f>VLOOKUP(A707,'Area Breakdown'!$B$1:$C$33,2,)</f>
        <v>Downtown</v>
      </c>
      <c r="C707" s="2">
        <v>44318</v>
      </c>
      <c r="D707" s="3">
        <v>471.20000000000005</v>
      </c>
    </row>
    <row r="708" spans="1:4" ht="14.7" thickBot="1" x14ac:dyDescent="0.6">
      <c r="A708" s="1" t="s">
        <v>2</v>
      </c>
      <c r="B708" t="str">
        <f>VLOOKUP(A708,'Area Breakdown'!$B$1:$C$33,2,)</f>
        <v>Downtown</v>
      </c>
      <c r="C708" s="2">
        <v>44318</v>
      </c>
      <c r="D708" s="3">
        <v>441.6</v>
      </c>
    </row>
    <row r="709" spans="1:4" ht="14.7" thickBot="1" x14ac:dyDescent="0.6">
      <c r="A709" s="1" t="s">
        <v>24</v>
      </c>
      <c r="B709" t="str">
        <f>VLOOKUP(A709,'Area Breakdown'!$B$1:$C$33,2,)</f>
        <v>October</v>
      </c>
      <c r="C709" s="2">
        <v>44318</v>
      </c>
      <c r="D709" s="3">
        <v>399.6</v>
      </c>
    </row>
    <row r="710" spans="1:4" ht="14.7" thickBot="1" x14ac:dyDescent="0.6">
      <c r="A710" s="1" t="s">
        <v>25</v>
      </c>
      <c r="B710" t="str">
        <f>VLOOKUP(A710,'Area Breakdown'!$B$1:$C$33,2,)</f>
        <v>October</v>
      </c>
      <c r="C710" s="2">
        <v>44318</v>
      </c>
      <c r="D710" s="3">
        <v>317.60000000000002</v>
      </c>
    </row>
    <row r="711" spans="1:4" ht="14.7" thickBot="1" x14ac:dyDescent="0.6">
      <c r="A711" s="1" t="s">
        <v>0</v>
      </c>
      <c r="B711" t="str">
        <f>VLOOKUP(A711,'Area Breakdown'!$B$1:$C$33,2,)</f>
        <v>Downtown</v>
      </c>
      <c r="C711" s="2">
        <v>44318</v>
      </c>
      <c r="D711" s="3">
        <v>290.40000000000003</v>
      </c>
    </row>
    <row r="712" spans="1:4" ht="14.7" thickBot="1" x14ac:dyDescent="0.6">
      <c r="A712" s="1" t="s">
        <v>6</v>
      </c>
      <c r="B712" t="str">
        <f>VLOOKUP(A712,'Area Breakdown'!$B$1:$C$33,2,)</f>
        <v xml:space="preserve">Alexandria </v>
      </c>
      <c r="C712" s="2">
        <v>44318</v>
      </c>
      <c r="D712" s="3">
        <v>274</v>
      </c>
    </row>
    <row r="713" spans="1:4" ht="14.7" thickBot="1" x14ac:dyDescent="0.6">
      <c r="A713" s="1" t="s">
        <v>27</v>
      </c>
      <c r="B713" t="str">
        <f>VLOOKUP(A713,'Area Breakdown'!$B$1:$C$33,2,)</f>
        <v xml:space="preserve">Alexandria </v>
      </c>
      <c r="C713" s="2">
        <v>44318</v>
      </c>
      <c r="D713" s="3">
        <v>254.4</v>
      </c>
    </row>
    <row r="714" spans="1:4" ht="14.7" thickBot="1" x14ac:dyDescent="0.6">
      <c r="A714" s="1" t="s">
        <v>10</v>
      </c>
      <c r="B714" t="str">
        <f>VLOOKUP(A714,'Area Breakdown'!$B$1:$C$33,2,)</f>
        <v xml:space="preserve">Alexandria </v>
      </c>
      <c r="C714" s="2">
        <v>44318</v>
      </c>
      <c r="D714" s="3">
        <v>227.60000000000002</v>
      </c>
    </row>
    <row r="715" spans="1:4" ht="14.7" thickBot="1" x14ac:dyDescent="0.6">
      <c r="A715" s="1" t="s">
        <v>3</v>
      </c>
      <c r="B715" t="str">
        <f>VLOOKUP(A715,'Area Breakdown'!$B$1:$C$33,2,)</f>
        <v>Downtown</v>
      </c>
      <c r="C715" s="2">
        <v>44318</v>
      </c>
      <c r="D715" s="3">
        <v>226.4</v>
      </c>
    </row>
    <row r="716" spans="1:4" ht="14.7" thickBot="1" x14ac:dyDescent="0.6">
      <c r="A716" s="1" t="s">
        <v>20</v>
      </c>
      <c r="B716" t="str">
        <f>VLOOKUP(A716,'Area Breakdown'!$B$1:$C$33,2,)</f>
        <v>Downtown</v>
      </c>
      <c r="C716" s="2">
        <v>44318</v>
      </c>
      <c r="D716" s="3">
        <v>202.4</v>
      </c>
    </row>
    <row r="717" spans="1:4" ht="14.7" thickBot="1" x14ac:dyDescent="0.6">
      <c r="A717" s="1" t="s">
        <v>17</v>
      </c>
      <c r="B717" t="str">
        <f>VLOOKUP(A717,'Area Breakdown'!$B$1:$C$33,2,)</f>
        <v>Heliopolis</v>
      </c>
      <c r="C717" s="2">
        <v>44318</v>
      </c>
      <c r="D717" s="3">
        <v>197.60000000000002</v>
      </c>
    </row>
    <row r="718" spans="1:4" ht="14.7" thickBot="1" x14ac:dyDescent="0.6">
      <c r="A718" s="1" t="s">
        <v>1</v>
      </c>
      <c r="B718" t="str">
        <f>VLOOKUP(A718,'Area Breakdown'!$B$1:$C$33,2,)</f>
        <v>Downtown</v>
      </c>
      <c r="C718" s="2">
        <v>44318</v>
      </c>
      <c r="D718" s="3">
        <v>194</v>
      </c>
    </row>
    <row r="719" spans="1:4" ht="14.7" thickBot="1" x14ac:dyDescent="0.6">
      <c r="A719" s="1" t="s">
        <v>19</v>
      </c>
      <c r="B719" t="str">
        <f>VLOOKUP(A719,'Area Breakdown'!$B$1:$C$33,2,)</f>
        <v>Downtown</v>
      </c>
      <c r="C719" s="2">
        <v>44318</v>
      </c>
      <c r="D719" s="3">
        <v>190.8</v>
      </c>
    </row>
    <row r="720" spans="1:4" ht="14.7" thickBot="1" x14ac:dyDescent="0.6">
      <c r="A720" s="1" t="s">
        <v>23</v>
      </c>
      <c r="B720" t="str">
        <f>VLOOKUP(A720,'Area Breakdown'!$B$1:$C$33,2,)</f>
        <v>Heliopolis</v>
      </c>
      <c r="C720" s="2">
        <v>44318</v>
      </c>
      <c r="D720" s="3">
        <v>180.4</v>
      </c>
    </row>
    <row r="721" spans="1:4" ht="14.7" thickBot="1" x14ac:dyDescent="0.6">
      <c r="A721" s="1" t="s">
        <v>9</v>
      </c>
      <c r="B721" t="str">
        <f>VLOOKUP(A721,'Area Breakdown'!$B$1:$C$33,2,)</f>
        <v xml:space="preserve">Alexandria </v>
      </c>
      <c r="C721" s="2">
        <v>44318</v>
      </c>
      <c r="D721" s="3">
        <v>152.4</v>
      </c>
    </row>
    <row r="722" spans="1:4" ht="14.7" thickBot="1" x14ac:dyDescent="0.6">
      <c r="A722" s="1" t="s">
        <v>21</v>
      </c>
      <c r="B722" t="str">
        <f>VLOOKUP(A722,'Area Breakdown'!$B$1:$C$33,2,)</f>
        <v>Heliopolis</v>
      </c>
      <c r="C722" s="2">
        <v>44318</v>
      </c>
      <c r="D722" s="3">
        <v>124.80000000000001</v>
      </c>
    </row>
    <row r="723" spans="1:4" ht="14.7" thickBot="1" x14ac:dyDescent="0.6">
      <c r="A723" s="1" t="s">
        <v>13</v>
      </c>
      <c r="B723" t="str">
        <f>VLOOKUP(A723,'Area Breakdown'!$B$1:$C$33,2,)</f>
        <v>Heliopolis</v>
      </c>
      <c r="C723" s="2">
        <v>44318</v>
      </c>
      <c r="D723" s="3">
        <v>84.4</v>
      </c>
    </row>
    <row r="724" spans="1:4" ht="14.7" thickBot="1" x14ac:dyDescent="0.6">
      <c r="A724" s="1" t="s">
        <v>4</v>
      </c>
      <c r="B724" t="str">
        <f>VLOOKUP(A724,'Area Breakdown'!$B$1:$C$33,2,)</f>
        <v>Downtown</v>
      </c>
      <c r="C724" s="2">
        <v>44318</v>
      </c>
      <c r="D724" s="3">
        <v>80</v>
      </c>
    </row>
    <row r="725" spans="1:4" ht="14.7" thickBot="1" x14ac:dyDescent="0.6">
      <c r="A725" s="1" t="s">
        <v>7</v>
      </c>
      <c r="B725" t="str">
        <f>VLOOKUP(A725,'Area Breakdown'!$B$1:$C$33,2,)</f>
        <v>October</v>
      </c>
      <c r="C725" s="2">
        <v>44318</v>
      </c>
      <c r="D725" s="3">
        <v>74.8</v>
      </c>
    </row>
    <row r="726" spans="1:4" ht="14.7" thickBot="1" x14ac:dyDescent="0.6">
      <c r="A726" s="1" t="s">
        <v>11</v>
      </c>
      <c r="B726" t="str">
        <f>VLOOKUP(A726,'Area Breakdown'!$B$1:$C$33,2,)</f>
        <v>New Cairo</v>
      </c>
      <c r="C726" s="2">
        <v>44318</v>
      </c>
      <c r="D726" s="3">
        <v>58.400000000000006</v>
      </c>
    </row>
    <row r="727" spans="1:4" ht="14.7" thickBot="1" x14ac:dyDescent="0.6">
      <c r="A727" s="1" t="s">
        <v>8</v>
      </c>
      <c r="B727" t="str">
        <f>VLOOKUP(A727,'Area Breakdown'!$B$1:$C$33,2,)</f>
        <v>Heliopolis</v>
      </c>
      <c r="C727" s="2">
        <v>44318</v>
      </c>
      <c r="D727" s="3">
        <v>54.400000000000006</v>
      </c>
    </row>
    <row r="728" spans="1:4" ht="14.7" thickBot="1" x14ac:dyDescent="0.6">
      <c r="A728" s="1" t="s">
        <v>15</v>
      </c>
      <c r="B728" t="str">
        <f>VLOOKUP(A728,'Area Breakdown'!$B$1:$C$33,2,)</f>
        <v>Heliopolis</v>
      </c>
      <c r="C728" s="2">
        <v>44318</v>
      </c>
      <c r="D728" s="3">
        <v>14</v>
      </c>
    </row>
    <row r="729" spans="1:4" ht="14.7" thickBot="1" x14ac:dyDescent="0.6">
      <c r="A729" s="1" t="s">
        <v>22</v>
      </c>
      <c r="B729" t="str">
        <f>VLOOKUP(A729,'Area Breakdown'!$B$1:$C$33,2,)</f>
        <v>Heliopolis</v>
      </c>
      <c r="C729" s="2">
        <v>44319</v>
      </c>
      <c r="D729" s="3">
        <v>824.40000000000009</v>
      </c>
    </row>
    <row r="730" spans="1:4" ht="14.7" thickBot="1" x14ac:dyDescent="0.6">
      <c r="A730" s="1" t="s">
        <v>10</v>
      </c>
      <c r="B730" t="str">
        <f>VLOOKUP(A730,'Area Breakdown'!$B$1:$C$33,2,)</f>
        <v xml:space="preserve">Alexandria </v>
      </c>
      <c r="C730" s="2">
        <v>44319</v>
      </c>
      <c r="D730" s="3">
        <v>492</v>
      </c>
    </row>
    <row r="731" spans="1:4" ht="14.7" thickBot="1" x14ac:dyDescent="0.6">
      <c r="A731" s="1" t="s">
        <v>0</v>
      </c>
      <c r="B731" t="str">
        <f>VLOOKUP(A731,'Area Breakdown'!$B$1:$C$33,2,)</f>
        <v>Downtown</v>
      </c>
      <c r="C731" s="2">
        <v>44319</v>
      </c>
      <c r="D731" s="3">
        <v>395.6</v>
      </c>
    </row>
    <row r="732" spans="1:4" ht="14.7" thickBot="1" x14ac:dyDescent="0.6">
      <c r="A732" s="1" t="s">
        <v>12</v>
      </c>
      <c r="B732" t="str">
        <f>VLOOKUP(A732,'Area Breakdown'!$B$1:$C$33,2,)</f>
        <v>New Cairo</v>
      </c>
      <c r="C732" s="2">
        <v>44319</v>
      </c>
      <c r="D732" s="3">
        <v>349.20000000000005</v>
      </c>
    </row>
    <row r="733" spans="1:4" ht="14.7" thickBot="1" x14ac:dyDescent="0.6">
      <c r="A733" s="1" t="s">
        <v>25</v>
      </c>
      <c r="B733" t="str">
        <f>VLOOKUP(A733,'Area Breakdown'!$B$1:$C$33,2,)</f>
        <v>October</v>
      </c>
      <c r="C733" s="2">
        <v>44319</v>
      </c>
      <c r="D733" s="3">
        <v>333.20000000000005</v>
      </c>
    </row>
    <row r="734" spans="1:4" ht="14.7" thickBot="1" x14ac:dyDescent="0.6">
      <c r="A734" s="1" t="s">
        <v>3</v>
      </c>
      <c r="B734" t="str">
        <f>VLOOKUP(A734,'Area Breakdown'!$B$1:$C$33,2,)</f>
        <v>Downtown</v>
      </c>
      <c r="C734" s="2">
        <v>44319</v>
      </c>
      <c r="D734" s="3">
        <v>277.60000000000002</v>
      </c>
    </row>
    <row r="735" spans="1:4" ht="14.7" thickBot="1" x14ac:dyDescent="0.6">
      <c r="A735" s="1" t="s">
        <v>16</v>
      </c>
      <c r="B735" t="str">
        <f>VLOOKUP(A735,'Area Breakdown'!$B$1:$C$33,2,)</f>
        <v>Downtown</v>
      </c>
      <c r="C735" s="2">
        <v>44319</v>
      </c>
      <c r="D735" s="3">
        <v>268.8</v>
      </c>
    </row>
    <row r="736" spans="1:4" ht="14.7" thickBot="1" x14ac:dyDescent="0.6">
      <c r="A736" s="1" t="s">
        <v>19</v>
      </c>
      <c r="B736" t="str">
        <f>VLOOKUP(A736,'Area Breakdown'!$B$1:$C$33,2,)</f>
        <v>Downtown</v>
      </c>
      <c r="C736" s="2">
        <v>44319</v>
      </c>
      <c r="D736" s="3">
        <v>266.40000000000003</v>
      </c>
    </row>
    <row r="737" spans="1:4" ht="14.7" thickBot="1" x14ac:dyDescent="0.6">
      <c r="A737" s="1" t="s">
        <v>17</v>
      </c>
      <c r="B737" t="str">
        <f>VLOOKUP(A737,'Area Breakdown'!$B$1:$C$33,2,)</f>
        <v>Heliopolis</v>
      </c>
      <c r="C737" s="2">
        <v>44319</v>
      </c>
      <c r="D737" s="3">
        <v>265.2</v>
      </c>
    </row>
    <row r="738" spans="1:4" ht="14.7" thickBot="1" x14ac:dyDescent="0.6">
      <c r="A738" s="1" t="s">
        <v>23</v>
      </c>
      <c r="B738" t="str">
        <f>VLOOKUP(A738,'Area Breakdown'!$B$1:$C$33,2,)</f>
        <v>Heliopolis</v>
      </c>
      <c r="C738" s="2">
        <v>44319</v>
      </c>
      <c r="D738" s="3">
        <v>256.8</v>
      </c>
    </row>
    <row r="739" spans="1:4" ht="14.7" thickBot="1" x14ac:dyDescent="0.6">
      <c r="A739" s="1" t="s">
        <v>1</v>
      </c>
      <c r="B739" t="str">
        <f>VLOOKUP(A739,'Area Breakdown'!$B$1:$C$33,2,)</f>
        <v>Downtown</v>
      </c>
      <c r="C739" s="2">
        <v>44319</v>
      </c>
      <c r="D739" s="3">
        <v>246</v>
      </c>
    </row>
    <row r="740" spans="1:4" ht="14.7" thickBot="1" x14ac:dyDescent="0.6">
      <c r="A740" s="1" t="s">
        <v>2</v>
      </c>
      <c r="B740" t="str">
        <f>VLOOKUP(A740,'Area Breakdown'!$B$1:$C$33,2,)</f>
        <v>Downtown</v>
      </c>
      <c r="C740" s="2">
        <v>44319</v>
      </c>
      <c r="D740" s="3">
        <v>234.4</v>
      </c>
    </row>
    <row r="741" spans="1:4" ht="14.7" thickBot="1" x14ac:dyDescent="0.6">
      <c r="A741" s="1" t="s">
        <v>24</v>
      </c>
      <c r="B741" t="str">
        <f>VLOOKUP(A741,'Area Breakdown'!$B$1:$C$33,2,)</f>
        <v>October</v>
      </c>
      <c r="C741" s="2">
        <v>44319</v>
      </c>
      <c r="D741" s="3">
        <v>208.4</v>
      </c>
    </row>
    <row r="742" spans="1:4" ht="14.7" thickBot="1" x14ac:dyDescent="0.6">
      <c r="A742" s="1" t="s">
        <v>21</v>
      </c>
      <c r="B742" t="str">
        <f>VLOOKUP(A742,'Area Breakdown'!$B$1:$C$33,2,)</f>
        <v>Heliopolis</v>
      </c>
      <c r="C742" s="2">
        <v>44319</v>
      </c>
      <c r="D742" s="3">
        <v>175.60000000000002</v>
      </c>
    </row>
    <row r="743" spans="1:4" ht="14.7" thickBot="1" x14ac:dyDescent="0.6">
      <c r="A743" s="1" t="s">
        <v>6</v>
      </c>
      <c r="B743" t="str">
        <f>VLOOKUP(A743,'Area Breakdown'!$B$1:$C$33,2,)</f>
        <v xml:space="preserve">Alexandria </v>
      </c>
      <c r="C743" s="2">
        <v>44319</v>
      </c>
      <c r="D743" s="3">
        <v>158.80000000000001</v>
      </c>
    </row>
    <row r="744" spans="1:4" ht="14.7" thickBot="1" x14ac:dyDescent="0.6">
      <c r="A744" s="1" t="s">
        <v>8</v>
      </c>
      <c r="B744" t="str">
        <f>VLOOKUP(A744,'Area Breakdown'!$B$1:$C$33,2,)</f>
        <v>Heliopolis</v>
      </c>
      <c r="C744" s="2">
        <v>44319</v>
      </c>
      <c r="D744" s="3">
        <v>150.80000000000001</v>
      </c>
    </row>
    <row r="745" spans="1:4" ht="14.7" thickBot="1" x14ac:dyDescent="0.6">
      <c r="A745" s="1" t="s">
        <v>13</v>
      </c>
      <c r="B745" t="str">
        <f>VLOOKUP(A745,'Area Breakdown'!$B$1:$C$33,2,)</f>
        <v>Heliopolis</v>
      </c>
      <c r="C745" s="2">
        <v>44319</v>
      </c>
      <c r="D745" s="3">
        <v>130</v>
      </c>
    </row>
    <row r="746" spans="1:4" ht="14.7" thickBot="1" x14ac:dyDescent="0.6">
      <c r="A746" s="1" t="s">
        <v>20</v>
      </c>
      <c r="B746" t="str">
        <f>VLOOKUP(A746,'Area Breakdown'!$B$1:$C$33,2,)</f>
        <v>Downtown</v>
      </c>
      <c r="C746" s="2">
        <v>44319</v>
      </c>
      <c r="D746" s="3">
        <v>100</v>
      </c>
    </row>
    <row r="747" spans="1:4" ht="14.7" thickBot="1" x14ac:dyDescent="0.6">
      <c r="A747" s="1" t="s">
        <v>11</v>
      </c>
      <c r="B747" t="str">
        <f>VLOOKUP(A747,'Area Breakdown'!$B$1:$C$33,2,)</f>
        <v>New Cairo</v>
      </c>
      <c r="C747" s="2">
        <v>44319</v>
      </c>
      <c r="D747" s="3">
        <v>97.600000000000009</v>
      </c>
    </row>
    <row r="748" spans="1:4" ht="14.7" thickBot="1" x14ac:dyDescent="0.6">
      <c r="A748" s="1" t="s">
        <v>9</v>
      </c>
      <c r="B748" t="str">
        <f>VLOOKUP(A748,'Area Breakdown'!$B$1:$C$33,2,)</f>
        <v xml:space="preserve">Alexandria </v>
      </c>
      <c r="C748" s="2">
        <v>44319</v>
      </c>
      <c r="D748" s="3">
        <v>95.600000000000009</v>
      </c>
    </row>
    <row r="749" spans="1:4" ht="14.7" thickBot="1" x14ac:dyDescent="0.6">
      <c r="A749" s="1" t="s">
        <v>4</v>
      </c>
      <c r="B749" t="str">
        <f>VLOOKUP(A749,'Area Breakdown'!$B$1:$C$33,2,)</f>
        <v>Downtown</v>
      </c>
      <c r="C749" s="2">
        <v>44319</v>
      </c>
      <c r="D749" s="3">
        <v>80.400000000000006</v>
      </c>
    </row>
    <row r="750" spans="1:4" ht="14.7" thickBot="1" x14ac:dyDescent="0.6">
      <c r="A750" s="1" t="s">
        <v>7</v>
      </c>
      <c r="B750" t="str">
        <f>VLOOKUP(A750,'Area Breakdown'!$B$1:$C$33,2,)</f>
        <v>October</v>
      </c>
      <c r="C750" s="2">
        <v>44319</v>
      </c>
      <c r="D750" s="3">
        <v>70.8</v>
      </c>
    </row>
    <row r="751" spans="1:4" ht="14.7" thickBot="1" x14ac:dyDescent="0.6">
      <c r="A751" s="1" t="s">
        <v>15</v>
      </c>
      <c r="B751" t="str">
        <f>VLOOKUP(A751,'Area Breakdown'!$B$1:$C$33,2,)</f>
        <v>Heliopolis</v>
      </c>
      <c r="C751" s="2">
        <v>44319</v>
      </c>
      <c r="D751" s="3">
        <v>61.2</v>
      </c>
    </row>
    <row r="752" spans="1:4" ht="14.7" thickBot="1" x14ac:dyDescent="0.6">
      <c r="A752" s="1" t="s">
        <v>27</v>
      </c>
      <c r="B752" t="str">
        <f>VLOOKUP(A752,'Area Breakdown'!$B$1:$C$33,2,)</f>
        <v xml:space="preserve">Alexandria </v>
      </c>
      <c r="C752" s="2">
        <v>44319</v>
      </c>
      <c r="D752" s="3">
        <v>42</v>
      </c>
    </row>
    <row r="753" spans="1:4" ht="14.7" thickBot="1" x14ac:dyDescent="0.6">
      <c r="A753" s="1" t="s">
        <v>12</v>
      </c>
      <c r="B753" t="str">
        <f>VLOOKUP(A753,'Area Breakdown'!$B$1:$C$33,2,)</f>
        <v>New Cairo</v>
      </c>
      <c r="C753" s="2">
        <v>44320</v>
      </c>
      <c r="D753" s="3">
        <v>744.80000000000007</v>
      </c>
    </row>
    <row r="754" spans="1:4" ht="14.7" thickBot="1" x14ac:dyDescent="0.6">
      <c r="A754" s="1" t="s">
        <v>21</v>
      </c>
      <c r="B754" t="str">
        <f>VLOOKUP(A754,'Area Breakdown'!$B$1:$C$33,2,)</f>
        <v>Heliopolis</v>
      </c>
      <c r="C754" s="2">
        <v>44320</v>
      </c>
      <c r="D754" s="3">
        <v>543.20000000000005</v>
      </c>
    </row>
    <row r="755" spans="1:4" ht="14.7" thickBot="1" x14ac:dyDescent="0.6">
      <c r="A755" s="1" t="s">
        <v>25</v>
      </c>
      <c r="B755" t="str">
        <f>VLOOKUP(A755,'Area Breakdown'!$B$1:$C$33,2,)</f>
        <v>October</v>
      </c>
      <c r="C755" s="2">
        <v>44320</v>
      </c>
      <c r="D755" s="3">
        <v>508</v>
      </c>
    </row>
    <row r="756" spans="1:4" ht="14.7" thickBot="1" x14ac:dyDescent="0.6">
      <c r="A756" s="1" t="s">
        <v>20</v>
      </c>
      <c r="B756" t="str">
        <f>VLOOKUP(A756,'Area Breakdown'!$B$1:$C$33,2,)</f>
        <v>Downtown</v>
      </c>
      <c r="C756" s="2">
        <v>44320</v>
      </c>
      <c r="D756" s="3">
        <v>420.8</v>
      </c>
    </row>
    <row r="757" spans="1:4" ht="14.7" thickBot="1" x14ac:dyDescent="0.6">
      <c r="A757" s="1" t="s">
        <v>6</v>
      </c>
      <c r="B757" t="str">
        <f>VLOOKUP(A757,'Area Breakdown'!$B$1:$C$33,2,)</f>
        <v xml:space="preserve">Alexandria </v>
      </c>
      <c r="C757" s="2">
        <v>44320</v>
      </c>
      <c r="D757" s="3">
        <v>410</v>
      </c>
    </row>
    <row r="758" spans="1:4" ht="14.7" thickBot="1" x14ac:dyDescent="0.6">
      <c r="A758" s="1" t="s">
        <v>17</v>
      </c>
      <c r="B758" t="str">
        <f>VLOOKUP(A758,'Area Breakdown'!$B$1:$C$33,2,)</f>
        <v>Heliopolis</v>
      </c>
      <c r="C758" s="2">
        <v>44320</v>
      </c>
      <c r="D758" s="3">
        <v>410</v>
      </c>
    </row>
    <row r="759" spans="1:4" ht="14.7" thickBot="1" x14ac:dyDescent="0.6">
      <c r="A759" s="1" t="s">
        <v>23</v>
      </c>
      <c r="B759" t="str">
        <f>VLOOKUP(A759,'Area Breakdown'!$B$1:$C$33,2,)</f>
        <v>Heliopolis</v>
      </c>
      <c r="C759" s="2">
        <v>44320</v>
      </c>
      <c r="D759" s="3">
        <v>388.40000000000003</v>
      </c>
    </row>
    <row r="760" spans="1:4" ht="14.7" thickBot="1" x14ac:dyDescent="0.6">
      <c r="A760" s="1" t="s">
        <v>22</v>
      </c>
      <c r="B760" t="str">
        <f>VLOOKUP(A760,'Area Breakdown'!$B$1:$C$33,2,)</f>
        <v>Heliopolis</v>
      </c>
      <c r="C760" s="2">
        <v>44320</v>
      </c>
      <c r="D760" s="3">
        <v>384.40000000000003</v>
      </c>
    </row>
    <row r="761" spans="1:4" ht="14.7" thickBot="1" x14ac:dyDescent="0.6">
      <c r="A761" s="1" t="s">
        <v>10</v>
      </c>
      <c r="B761" t="str">
        <f>VLOOKUP(A761,'Area Breakdown'!$B$1:$C$33,2,)</f>
        <v xml:space="preserve">Alexandria </v>
      </c>
      <c r="C761" s="2">
        <v>44320</v>
      </c>
      <c r="D761" s="3">
        <v>370</v>
      </c>
    </row>
    <row r="762" spans="1:4" ht="14.7" thickBot="1" x14ac:dyDescent="0.6">
      <c r="A762" s="1" t="s">
        <v>0</v>
      </c>
      <c r="B762" t="str">
        <f>VLOOKUP(A762,'Area Breakdown'!$B$1:$C$33,2,)</f>
        <v>Downtown</v>
      </c>
      <c r="C762" s="2">
        <v>44320</v>
      </c>
      <c r="D762" s="3">
        <v>365.20000000000005</v>
      </c>
    </row>
    <row r="763" spans="1:4" ht="14.7" thickBot="1" x14ac:dyDescent="0.6">
      <c r="A763" s="1" t="s">
        <v>24</v>
      </c>
      <c r="B763" t="str">
        <f>VLOOKUP(A763,'Area Breakdown'!$B$1:$C$33,2,)</f>
        <v>October</v>
      </c>
      <c r="C763" s="2">
        <v>44320</v>
      </c>
      <c r="D763" s="3">
        <v>351.20000000000005</v>
      </c>
    </row>
    <row r="764" spans="1:4" ht="14.7" thickBot="1" x14ac:dyDescent="0.6">
      <c r="A764" s="1" t="s">
        <v>1</v>
      </c>
      <c r="B764" t="str">
        <f>VLOOKUP(A764,'Area Breakdown'!$B$1:$C$33,2,)</f>
        <v>Downtown</v>
      </c>
      <c r="C764" s="2">
        <v>44320</v>
      </c>
      <c r="D764" s="3">
        <v>316.40000000000003</v>
      </c>
    </row>
    <row r="765" spans="1:4" ht="14.7" thickBot="1" x14ac:dyDescent="0.6">
      <c r="A765" s="1" t="s">
        <v>2</v>
      </c>
      <c r="B765" t="str">
        <f>VLOOKUP(A765,'Area Breakdown'!$B$1:$C$33,2,)</f>
        <v>Downtown</v>
      </c>
      <c r="C765" s="2">
        <v>44320</v>
      </c>
      <c r="D765" s="3">
        <v>293.60000000000002</v>
      </c>
    </row>
    <row r="766" spans="1:4" ht="14.7" thickBot="1" x14ac:dyDescent="0.6">
      <c r="A766" s="1" t="s">
        <v>16</v>
      </c>
      <c r="B766" t="str">
        <f>VLOOKUP(A766,'Area Breakdown'!$B$1:$C$33,2,)</f>
        <v>Downtown</v>
      </c>
      <c r="C766" s="2">
        <v>44320</v>
      </c>
      <c r="D766" s="3">
        <v>273.2</v>
      </c>
    </row>
    <row r="767" spans="1:4" ht="14.7" thickBot="1" x14ac:dyDescent="0.6">
      <c r="A767" s="1" t="s">
        <v>19</v>
      </c>
      <c r="B767" t="str">
        <f>VLOOKUP(A767,'Area Breakdown'!$B$1:$C$33,2,)</f>
        <v>Downtown</v>
      </c>
      <c r="C767" s="2">
        <v>44320</v>
      </c>
      <c r="D767" s="3">
        <v>216.4</v>
      </c>
    </row>
    <row r="768" spans="1:4" ht="14.7" thickBot="1" x14ac:dyDescent="0.6">
      <c r="A768" s="1" t="s">
        <v>4</v>
      </c>
      <c r="B768" t="str">
        <f>VLOOKUP(A768,'Area Breakdown'!$B$1:$C$33,2,)</f>
        <v>Downtown</v>
      </c>
      <c r="C768" s="2">
        <v>44320</v>
      </c>
      <c r="D768" s="3">
        <v>202.4</v>
      </c>
    </row>
    <row r="769" spans="1:4" ht="14.7" thickBot="1" x14ac:dyDescent="0.6">
      <c r="A769" s="1" t="s">
        <v>27</v>
      </c>
      <c r="B769" t="str">
        <f>VLOOKUP(A769,'Area Breakdown'!$B$1:$C$33,2,)</f>
        <v xml:space="preserve">Alexandria </v>
      </c>
      <c r="C769" s="2">
        <v>44320</v>
      </c>
      <c r="D769" s="3">
        <v>183.60000000000002</v>
      </c>
    </row>
    <row r="770" spans="1:4" ht="14.7" thickBot="1" x14ac:dyDescent="0.6">
      <c r="A770" s="1" t="s">
        <v>8</v>
      </c>
      <c r="B770" t="str">
        <f>VLOOKUP(A770,'Area Breakdown'!$B$1:$C$33,2,)</f>
        <v>Heliopolis</v>
      </c>
      <c r="C770" s="2">
        <v>44320</v>
      </c>
      <c r="D770" s="3">
        <v>176</v>
      </c>
    </row>
    <row r="771" spans="1:4" ht="14.7" thickBot="1" x14ac:dyDescent="0.6">
      <c r="A771" s="1" t="s">
        <v>13</v>
      </c>
      <c r="B771" t="str">
        <f>VLOOKUP(A771,'Area Breakdown'!$B$1:$C$33,2,)</f>
        <v>Heliopolis</v>
      </c>
      <c r="C771" s="2">
        <v>44320</v>
      </c>
      <c r="D771" s="3">
        <v>166.4</v>
      </c>
    </row>
    <row r="772" spans="1:4" ht="14.7" thickBot="1" x14ac:dyDescent="0.6">
      <c r="A772" s="1" t="s">
        <v>9</v>
      </c>
      <c r="B772" t="str">
        <f>VLOOKUP(A772,'Area Breakdown'!$B$1:$C$33,2,)</f>
        <v xml:space="preserve">Alexandria </v>
      </c>
      <c r="C772" s="2">
        <v>44320</v>
      </c>
      <c r="D772" s="3">
        <v>135.6</v>
      </c>
    </row>
    <row r="773" spans="1:4" ht="14.7" thickBot="1" x14ac:dyDescent="0.6">
      <c r="A773" s="1" t="s">
        <v>3</v>
      </c>
      <c r="B773" t="str">
        <f>VLOOKUP(A773,'Area Breakdown'!$B$1:$C$33,2,)</f>
        <v>Downtown</v>
      </c>
      <c r="C773" s="2">
        <v>44320</v>
      </c>
      <c r="D773" s="3">
        <v>128.4</v>
      </c>
    </row>
    <row r="774" spans="1:4" ht="14.7" thickBot="1" x14ac:dyDescent="0.6">
      <c r="A774" s="1" t="s">
        <v>11</v>
      </c>
      <c r="B774" t="str">
        <f>VLOOKUP(A774,'Area Breakdown'!$B$1:$C$33,2,)</f>
        <v>New Cairo</v>
      </c>
      <c r="C774" s="2">
        <v>44320</v>
      </c>
      <c r="D774" s="3">
        <v>123.2</v>
      </c>
    </row>
    <row r="775" spans="1:4" ht="14.7" thickBot="1" x14ac:dyDescent="0.6">
      <c r="A775" s="1" t="s">
        <v>7</v>
      </c>
      <c r="B775" t="str">
        <f>VLOOKUP(A775,'Area Breakdown'!$B$1:$C$33,2,)</f>
        <v>October</v>
      </c>
      <c r="C775" s="2">
        <v>44320</v>
      </c>
      <c r="D775" s="3">
        <v>33.6</v>
      </c>
    </row>
    <row r="776" spans="1:4" ht="14.7" thickBot="1" x14ac:dyDescent="0.6">
      <c r="A776" s="1" t="s">
        <v>15</v>
      </c>
      <c r="B776" t="str">
        <f>VLOOKUP(A776,'Area Breakdown'!$B$1:$C$33,2,)</f>
        <v>Heliopolis</v>
      </c>
      <c r="C776" s="2">
        <v>44320</v>
      </c>
      <c r="D776" s="3">
        <v>12.4</v>
      </c>
    </row>
    <row r="777" spans="1:4" ht="14.7" thickBot="1" x14ac:dyDescent="0.6">
      <c r="A777" s="1" t="s">
        <v>19</v>
      </c>
      <c r="B777" t="str">
        <f>VLOOKUP(A777,'Area Breakdown'!$B$1:$C$33,2,)</f>
        <v>Downtown</v>
      </c>
      <c r="C777" s="2">
        <v>44321</v>
      </c>
      <c r="D777" s="3">
        <v>996</v>
      </c>
    </row>
    <row r="778" spans="1:4" ht="14.7" thickBot="1" x14ac:dyDescent="0.6">
      <c r="A778" s="1" t="s">
        <v>12</v>
      </c>
      <c r="B778" t="str">
        <f>VLOOKUP(A778,'Area Breakdown'!$B$1:$C$33,2,)</f>
        <v>New Cairo</v>
      </c>
      <c r="C778" s="2">
        <v>44321</v>
      </c>
      <c r="D778" s="3">
        <v>748.80000000000007</v>
      </c>
    </row>
    <row r="779" spans="1:4" ht="14.7" thickBot="1" x14ac:dyDescent="0.6">
      <c r="A779" s="1" t="s">
        <v>22</v>
      </c>
      <c r="B779" t="str">
        <f>VLOOKUP(A779,'Area Breakdown'!$B$1:$C$33,2,)</f>
        <v>Heliopolis</v>
      </c>
      <c r="C779" s="2">
        <v>44321</v>
      </c>
      <c r="D779" s="3">
        <v>558.80000000000007</v>
      </c>
    </row>
    <row r="780" spans="1:4" ht="14.7" thickBot="1" x14ac:dyDescent="0.6">
      <c r="A780" s="1" t="s">
        <v>21</v>
      </c>
      <c r="B780" t="str">
        <f>VLOOKUP(A780,'Area Breakdown'!$B$1:$C$33,2,)</f>
        <v>Heliopolis</v>
      </c>
      <c r="C780" s="2">
        <v>44321</v>
      </c>
      <c r="D780" s="3">
        <v>505.20000000000005</v>
      </c>
    </row>
    <row r="781" spans="1:4" ht="14.7" thickBot="1" x14ac:dyDescent="0.6">
      <c r="A781" s="1" t="s">
        <v>25</v>
      </c>
      <c r="B781" t="str">
        <f>VLOOKUP(A781,'Area Breakdown'!$B$1:$C$33,2,)</f>
        <v>October</v>
      </c>
      <c r="C781" s="2">
        <v>44321</v>
      </c>
      <c r="D781" s="3">
        <v>457.6</v>
      </c>
    </row>
    <row r="782" spans="1:4" ht="14.7" thickBot="1" x14ac:dyDescent="0.6">
      <c r="A782" s="1" t="s">
        <v>20</v>
      </c>
      <c r="B782" t="str">
        <f>VLOOKUP(A782,'Area Breakdown'!$B$1:$C$33,2,)</f>
        <v>Downtown</v>
      </c>
      <c r="C782" s="2">
        <v>44321</v>
      </c>
      <c r="D782" s="3">
        <v>444.40000000000003</v>
      </c>
    </row>
    <row r="783" spans="1:4" ht="14.7" thickBot="1" x14ac:dyDescent="0.6">
      <c r="A783" s="1" t="s">
        <v>0</v>
      </c>
      <c r="B783" t="str">
        <f>VLOOKUP(A783,'Area Breakdown'!$B$1:$C$33,2,)</f>
        <v>Downtown</v>
      </c>
      <c r="C783" s="2">
        <v>44321</v>
      </c>
      <c r="D783" s="3">
        <v>429.6</v>
      </c>
    </row>
    <row r="784" spans="1:4" ht="14.7" thickBot="1" x14ac:dyDescent="0.6">
      <c r="A784" s="1" t="s">
        <v>6</v>
      </c>
      <c r="B784" t="str">
        <f>VLOOKUP(A784,'Area Breakdown'!$B$1:$C$33,2,)</f>
        <v xml:space="preserve">Alexandria </v>
      </c>
      <c r="C784" s="2">
        <v>44321</v>
      </c>
      <c r="D784" s="3">
        <v>338.40000000000003</v>
      </c>
    </row>
    <row r="785" spans="1:4" ht="14.7" thickBot="1" x14ac:dyDescent="0.6">
      <c r="A785" s="1" t="s">
        <v>10</v>
      </c>
      <c r="B785" t="str">
        <f>VLOOKUP(A785,'Area Breakdown'!$B$1:$C$33,2,)</f>
        <v xml:space="preserve">Alexandria </v>
      </c>
      <c r="C785" s="2">
        <v>44321</v>
      </c>
      <c r="D785" s="3">
        <v>325.60000000000002</v>
      </c>
    </row>
    <row r="786" spans="1:4" ht="14.7" thickBot="1" x14ac:dyDescent="0.6">
      <c r="A786" s="1" t="s">
        <v>2</v>
      </c>
      <c r="B786" t="str">
        <f>VLOOKUP(A786,'Area Breakdown'!$B$1:$C$33,2,)</f>
        <v>Downtown</v>
      </c>
      <c r="C786" s="2">
        <v>44321</v>
      </c>
      <c r="D786" s="3">
        <v>325.20000000000005</v>
      </c>
    </row>
    <row r="787" spans="1:4" ht="14.7" thickBot="1" x14ac:dyDescent="0.6">
      <c r="A787" s="1" t="s">
        <v>17</v>
      </c>
      <c r="B787" t="str">
        <f>VLOOKUP(A787,'Area Breakdown'!$B$1:$C$33,2,)</f>
        <v>Heliopolis</v>
      </c>
      <c r="C787" s="2">
        <v>44321</v>
      </c>
      <c r="D787" s="3">
        <v>304</v>
      </c>
    </row>
    <row r="788" spans="1:4" ht="14.7" thickBot="1" x14ac:dyDescent="0.6">
      <c r="A788" s="1" t="s">
        <v>1</v>
      </c>
      <c r="B788" t="str">
        <f>VLOOKUP(A788,'Area Breakdown'!$B$1:$C$33,2,)</f>
        <v>Downtown</v>
      </c>
      <c r="C788" s="2">
        <v>44321</v>
      </c>
      <c r="D788" s="3">
        <v>299.60000000000002</v>
      </c>
    </row>
    <row r="789" spans="1:4" ht="14.7" thickBot="1" x14ac:dyDescent="0.6">
      <c r="A789" s="1" t="s">
        <v>3</v>
      </c>
      <c r="B789" t="str">
        <f>VLOOKUP(A789,'Area Breakdown'!$B$1:$C$33,2,)</f>
        <v>Downtown</v>
      </c>
      <c r="C789" s="2">
        <v>44321</v>
      </c>
      <c r="D789" s="3">
        <v>270</v>
      </c>
    </row>
    <row r="790" spans="1:4" ht="14.7" thickBot="1" x14ac:dyDescent="0.6">
      <c r="A790" s="1" t="s">
        <v>4</v>
      </c>
      <c r="B790" t="str">
        <f>VLOOKUP(A790,'Area Breakdown'!$B$1:$C$33,2,)</f>
        <v>Downtown</v>
      </c>
      <c r="C790" s="2">
        <v>44321</v>
      </c>
      <c r="D790" s="3">
        <v>246.8</v>
      </c>
    </row>
    <row r="791" spans="1:4" ht="14.7" thickBot="1" x14ac:dyDescent="0.6">
      <c r="A791" s="1" t="s">
        <v>9</v>
      </c>
      <c r="B791" t="str">
        <f>VLOOKUP(A791,'Area Breakdown'!$B$1:$C$33,2,)</f>
        <v xml:space="preserve">Alexandria </v>
      </c>
      <c r="C791" s="2">
        <v>44321</v>
      </c>
      <c r="D791" s="3">
        <v>234.8</v>
      </c>
    </row>
    <row r="792" spans="1:4" ht="14.7" thickBot="1" x14ac:dyDescent="0.6">
      <c r="A792" s="1" t="s">
        <v>23</v>
      </c>
      <c r="B792" t="str">
        <f>VLOOKUP(A792,'Area Breakdown'!$B$1:$C$33,2,)</f>
        <v>Heliopolis</v>
      </c>
      <c r="C792" s="2">
        <v>44321</v>
      </c>
      <c r="D792" s="3">
        <v>208.4</v>
      </c>
    </row>
    <row r="793" spans="1:4" ht="14.7" thickBot="1" x14ac:dyDescent="0.6">
      <c r="A793" s="1" t="s">
        <v>16</v>
      </c>
      <c r="B793" t="str">
        <f>VLOOKUP(A793,'Area Breakdown'!$B$1:$C$33,2,)</f>
        <v>Downtown</v>
      </c>
      <c r="C793" s="2">
        <v>44321</v>
      </c>
      <c r="D793" s="3">
        <v>154.4</v>
      </c>
    </row>
    <row r="794" spans="1:4" ht="14.7" thickBot="1" x14ac:dyDescent="0.6">
      <c r="A794" s="1" t="s">
        <v>27</v>
      </c>
      <c r="B794" t="str">
        <f>VLOOKUP(A794,'Area Breakdown'!$B$1:$C$33,2,)</f>
        <v xml:space="preserve">Alexandria </v>
      </c>
      <c r="C794" s="2">
        <v>44321</v>
      </c>
      <c r="D794" s="3">
        <v>121.60000000000001</v>
      </c>
    </row>
    <row r="795" spans="1:4" ht="14.7" thickBot="1" x14ac:dyDescent="0.6">
      <c r="A795" s="1" t="s">
        <v>8</v>
      </c>
      <c r="B795" t="str">
        <f>VLOOKUP(A795,'Area Breakdown'!$B$1:$C$33,2,)</f>
        <v>Heliopolis</v>
      </c>
      <c r="C795" s="2">
        <v>44321</v>
      </c>
      <c r="D795" s="3">
        <v>103.2</v>
      </c>
    </row>
    <row r="796" spans="1:4" ht="14.7" thickBot="1" x14ac:dyDescent="0.6">
      <c r="A796" s="1" t="s">
        <v>7</v>
      </c>
      <c r="B796" t="str">
        <f>VLOOKUP(A796,'Area Breakdown'!$B$1:$C$33,2,)</f>
        <v>October</v>
      </c>
      <c r="C796" s="2">
        <v>44321</v>
      </c>
      <c r="D796" s="3">
        <v>102.80000000000001</v>
      </c>
    </row>
    <row r="797" spans="1:4" ht="14.7" thickBot="1" x14ac:dyDescent="0.6">
      <c r="A797" s="1" t="s">
        <v>13</v>
      </c>
      <c r="B797" t="str">
        <f>VLOOKUP(A797,'Area Breakdown'!$B$1:$C$33,2,)</f>
        <v>Heliopolis</v>
      </c>
      <c r="C797" s="2">
        <v>44321</v>
      </c>
      <c r="D797" s="3">
        <v>94.800000000000011</v>
      </c>
    </row>
    <row r="798" spans="1:4" ht="14.7" thickBot="1" x14ac:dyDescent="0.6">
      <c r="A798" s="1" t="s">
        <v>24</v>
      </c>
      <c r="B798" t="str">
        <f>VLOOKUP(A798,'Area Breakdown'!$B$1:$C$33,2,)</f>
        <v>October</v>
      </c>
      <c r="C798" s="2">
        <v>44321</v>
      </c>
      <c r="D798" s="3">
        <v>86.4</v>
      </c>
    </row>
    <row r="799" spans="1:4" ht="14.7" thickBot="1" x14ac:dyDescent="0.6">
      <c r="A799" s="1" t="s">
        <v>11</v>
      </c>
      <c r="B799" t="str">
        <f>VLOOKUP(A799,'Area Breakdown'!$B$1:$C$33,2,)</f>
        <v>New Cairo</v>
      </c>
      <c r="C799" s="2">
        <v>44321</v>
      </c>
      <c r="D799" s="3">
        <v>54.800000000000004</v>
      </c>
    </row>
    <row r="800" spans="1:4" ht="14.7" thickBot="1" x14ac:dyDescent="0.6">
      <c r="A800" s="1" t="s">
        <v>22</v>
      </c>
      <c r="B800" t="str">
        <f>VLOOKUP(A800,'Area Breakdown'!$B$1:$C$33,2,)</f>
        <v>Heliopolis</v>
      </c>
      <c r="C800" s="2">
        <v>44322</v>
      </c>
      <c r="D800" s="3">
        <v>1256</v>
      </c>
    </row>
    <row r="801" spans="1:4" ht="14.7" thickBot="1" x14ac:dyDescent="0.6">
      <c r="A801" s="1" t="s">
        <v>12</v>
      </c>
      <c r="B801" t="str">
        <f>VLOOKUP(A801,'Area Breakdown'!$B$1:$C$33,2,)</f>
        <v>New Cairo</v>
      </c>
      <c r="C801" s="2">
        <v>44322</v>
      </c>
      <c r="D801" s="3">
        <v>1071.6000000000001</v>
      </c>
    </row>
    <row r="802" spans="1:4" ht="14.7" thickBot="1" x14ac:dyDescent="0.6">
      <c r="A802" s="1" t="s">
        <v>25</v>
      </c>
      <c r="B802" t="str">
        <f>VLOOKUP(A802,'Area Breakdown'!$B$1:$C$33,2,)</f>
        <v>October</v>
      </c>
      <c r="C802" s="2">
        <v>44322</v>
      </c>
      <c r="D802" s="3">
        <v>617.20000000000005</v>
      </c>
    </row>
    <row r="803" spans="1:4" ht="14.7" thickBot="1" x14ac:dyDescent="0.6">
      <c r="A803" s="1" t="s">
        <v>20</v>
      </c>
      <c r="B803" t="str">
        <f>VLOOKUP(A803,'Area Breakdown'!$B$1:$C$33,2,)</f>
        <v>Downtown</v>
      </c>
      <c r="C803" s="2">
        <v>44322</v>
      </c>
      <c r="D803" s="3">
        <v>580.4</v>
      </c>
    </row>
    <row r="804" spans="1:4" ht="14.7" thickBot="1" x14ac:dyDescent="0.6">
      <c r="A804" s="1" t="s">
        <v>0</v>
      </c>
      <c r="B804" t="str">
        <f>VLOOKUP(A804,'Area Breakdown'!$B$1:$C$33,2,)</f>
        <v>Downtown</v>
      </c>
      <c r="C804" s="2">
        <v>44322</v>
      </c>
      <c r="D804" s="3">
        <v>580</v>
      </c>
    </row>
    <row r="805" spans="1:4" ht="14.7" thickBot="1" x14ac:dyDescent="0.6">
      <c r="A805" s="1" t="s">
        <v>19</v>
      </c>
      <c r="B805" t="str">
        <f>VLOOKUP(A805,'Area Breakdown'!$B$1:$C$33,2,)</f>
        <v>Downtown</v>
      </c>
      <c r="C805" s="2">
        <v>44322</v>
      </c>
      <c r="D805" s="3">
        <v>556</v>
      </c>
    </row>
    <row r="806" spans="1:4" ht="14.7" thickBot="1" x14ac:dyDescent="0.6">
      <c r="A806" s="1" t="s">
        <v>17</v>
      </c>
      <c r="B806" t="str">
        <f>VLOOKUP(A806,'Area Breakdown'!$B$1:$C$33,2,)</f>
        <v>Heliopolis</v>
      </c>
      <c r="C806" s="2">
        <v>44322</v>
      </c>
      <c r="D806" s="3">
        <v>434.40000000000003</v>
      </c>
    </row>
    <row r="807" spans="1:4" ht="14.7" thickBot="1" x14ac:dyDescent="0.6">
      <c r="A807" s="1" t="s">
        <v>24</v>
      </c>
      <c r="B807" t="str">
        <f>VLOOKUP(A807,'Area Breakdown'!$B$1:$C$33,2,)</f>
        <v>October</v>
      </c>
      <c r="C807" s="2">
        <v>44322</v>
      </c>
      <c r="D807" s="3">
        <v>433.20000000000005</v>
      </c>
    </row>
    <row r="808" spans="1:4" ht="14.7" thickBot="1" x14ac:dyDescent="0.6">
      <c r="A808" s="1" t="s">
        <v>10</v>
      </c>
      <c r="B808" t="str">
        <f>VLOOKUP(A808,'Area Breakdown'!$B$1:$C$33,2,)</f>
        <v xml:space="preserve">Alexandria </v>
      </c>
      <c r="C808" s="2">
        <v>44322</v>
      </c>
      <c r="D808" s="3">
        <v>355.6</v>
      </c>
    </row>
    <row r="809" spans="1:4" ht="14.7" thickBot="1" x14ac:dyDescent="0.6">
      <c r="A809" s="1" t="s">
        <v>11</v>
      </c>
      <c r="B809" t="str">
        <f>VLOOKUP(A809,'Area Breakdown'!$B$1:$C$33,2,)</f>
        <v>New Cairo</v>
      </c>
      <c r="C809" s="2">
        <v>44322</v>
      </c>
      <c r="D809" s="3">
        <v>331.6</v>
      </c>
    </row>
    <row r="810" spans="1:4" ht="14.7" thickBot="1" x14ac:dyDescent="0.6">
      <c r="A810" s="1" t="s">
        <v>6</v>
      </c>
      <c r="B810" t="str">
        <f>VLOOKUP(A810,'Area Breakdown'!$B$1:$C$33,2,)</f>
        <v xml:space="preserve">Alexandria </v>
      </c>
      <c r="C810" s="2">
        <v>44322</v>
      </c>
      <c r="D810" s="3">
        <v>326.40000000000003</v>
      </c>
    </row>
    <row r="811" spans="1:4" ht="14.7" thickBot="1" x14ac:dyDescent="0.6">
      <c r="A811" s="1" t="s">
        <v>23</v>
      </c>
      <c r="B811" t="str">
        <f>VLOOKUP(A811,'Area Breakdown'!$B$1:$C$33,2,)</f>
        <v>Heliopolis</v>
      </c>
      <c r="C811" s="2">
        <v>44322</v>
      </c>
      <c r="D811" s="3">
        <v>324</v>
      </c>
    </row>
    <row r="812" spans="1:4" ht="14.7" thickBot="1" x14ac:dyDescent="0.6">
      <c r="A812" s="1" t="s">
        <v>2</v>
      </c>
      <c r="B812" t="str">
        <f>VLOOKUP(A812,'Area Breakdown'!$B$1:$C$33,2,)</f>
        <v>Downtown</v>
      </c>
      <c r="C812" s="2">
        <v>44322</v>
      </c>
      <c r="D812" s="3">
        <v>321.60000000000002</v>
      </c>
    </row>
    <row r="813" spans="1:4" ht="14.7" thickBot="1" x14ac:dyDescent="0.6">
      <c r="A813" s="1" t="s">
        <v>9</v>
      </c>
      <c r="B813" t="str">
        <f>VLOOKUP(A813,'Area Breakdown'!$B$1:$C$33,2,)</f>
        <v xml:space="preserve">Alexandria </v>
      </c>
      <c r="C813" s="2">
        <v>44322</v>
      </c>
      <c r="D813" s="3">
        <v>287.2</v>
      </c>
    </row>
    <row r="814" spans="1:4" ht="14.7" thickBot="1" x14ac:dyDescent="0.6">
      <c r="A814" s="1" t="s">
        <v>3</v>
      </c>
      <c r="B814" t="str">
        <f>VLOOKUP(A814,'Area Breakdown'!$B$1:$C$33,2,)</f>
        <v>Downtown</v>
      </c>
      <c r="C814" s="2">
        <v>44322</v>
      </c>
      <c r="D814" s="3">
        <v>275.60000000000002</v>
      </c>
    </row>
    <row r="815" spans="1:4" ht="14.7" thickBot="1" x14ac:dyDescent="0.6">
      <c r="A815" s="1" t="s">
        <v>16</v>
      </c>
      <c r="B815" t="str">
        <f>VLOOKUP(A815,'Area Breakdown'!$B$1:$C$33,2,)</f>
        <v>Downtown</v>
      </c>
      <c r="C815" s="2">
        <v>44322</v>
      </c>
      <c r="D815" s="3">
        <v>269.60000000000002</v>
      </c>
    </row>
    <row r="816" spans="1:4" ht="14.7" thickBot="1" x14ac:dyDescent="0.6">
      <c r="A816" s="1" t="s">
        <v>1</v>
      </c>
      <c r="B816" t="str">
        <f>VLOOKUP(A816,'Area Breakdown'!$B$1:$C$33,2,)</f>
        <v>Downtown</v>
      </c>
      <c r="C816" s="2">
        <v>44322</v>
      </c>
      <c r="D816" s="3">
        <v>224.8</v>
      </c>
    </row>
    <row r="817" spans="1:4" ht="14.7" thickBot="1" x14ac:dyDescent="0.6">
      <c r="A817" s="1" t="s">
        <v>8</v>
      </c>
      <c r="B817" t="str">
        <f>VLOOKUP(A817,'Area Breakdown'!$B$1:$C$33,2,)</f>
        <v>Heliopolis</v>
      </c>
      <c r="C817" s="2">
        <v>44322</v>
      </c>
      <c r="D817" s="3">
        <v>190.8</v>
      </c>
    </row>
    <row r="818" spans="1:4" ht="14.7" thickBot="1" x14ac:dyDescent="0.6">
      <c r="A818" s="1" t="s">
        <v>13</v>
      </c>
      <c r="B818" t="str">
        <f>VLOOKUP(A818,'Area Breakdown'!$B$1:$C$33,2,)</f>
        <v>Heliopolis</v>
      </c>
      <c r="C818" s="2">
        <v>44322</v>
      </c>
      <c r="D818" s="3">
        <v>172.8</v>
      </c>
    </row>
    <row r="819" spans="1:4" ht="14.7" thickBot="1" x14ac:dyDescent="0.6">
      <c r="A819" s="1" t="s">
        <v>21</v>
      </c>
      <c r="B819" t="str">
        <f>VLOOKUP(A819,'Area Breakdown'!$B$1:$C$33,2,)</f>
        <v>Heliopolis</v>
      </c>
      <c r="C819" s="2">
        <v>44322</v>
      </c>
      <c r="D819" s="3">
        <v>119.2</v>
      </c>
    </row>
    <row r="820" spans="1:4" ht="14.7" thickBot="1" x14ac:dyDescent="0.6">
      <c r="A820" s="1" t="s">
        <v>15</v>
      </c>
      <c r="B820" t="str">
        <f>VLOOKUP(A820,'Area Breakdown'!$B$1:$C$33,2,)</f>
        <v>Heliopolis</v>
      </c>
      <c r="C820" s="2">
        <v>44322</v>
      </c>
      <c r="D820" s="3">
        <v>94.800000000000011</v>
      </c>
    </row>
    <row r="821" spans="1:4" ht="14.7" thickBot="1" x14ac:dyDescent="0.6">
      <c r="A821" s="1" t="s">
        <v>7</v>
      </c>
      <c r="B821" t="str">
        <f>VLOOKUP(A821,'Area Breakdown'!$B$1:$C$33,2,)</f>
        <v>October</v>
      </c>
      <c r="C821" s="2">
        <v>44322</v>
      </c>
      <c r="D821" s="3">
        <v>93.600000000000009</v>
      </c>
    </row>
    <row r="822" spans="1:4" ht="14.7" thickBot="1" x14ac:dyDescent="0.6">
      <c r="A822" s="1" t="s">
        <v>4</v>
      </c>
      <c r="B822" t="str">
        <f>VLOOKUP(A822,'Area Breakdown'!$B$1:$C$33,2,)</f>
        <v>Downtown</v>
      </c>
      <c r="C822" s="2">
        <v>44322</v>
      </c>
      <c r="D822" s="3">
        <v>87.600000000000009</v>
      </c>
    </row>
    <row r="823" spans="1:4" ht="14.7" thickBot="1" x14ac:dyDescent="0.6">
      <c r="A823" s="1" t="s">
        <v>27</v>
      </c>
      <c r="B823" t="str">
        <f>VLOOKUP(A823,'Area Breakdown'!$B$1:$C$33,2,)</f>
        <v xml:space="preserve">Alexandria </v>
      </c>
      <c r="C823" s="2">
        <v>44322</v>
      </c>
      <c r="D823" s="3">
        <v>51.6</v>
      </c>
    </row>
    <row r="824" spans="1:4" ht="14.7" thickBot="1" x14ac:dyDescent="0.6">
      <c r="A824" s="1" t="s">
        <v>22</v>
      </c>
      <c r="B824" t="str">
        <f>VLOOKUP(A824,'Area Breakdown'!$B$1:$C$33,2,)</f>
        <v>Heliopolis</v>
      </c>
      <c r="C824" s="2">
        <v>44323</v>
      </c>
      <c r="D824" s="3">
        <v>1051.2</v>
      </c>
    </row>
    <row r="825" spans="1:4" ht="14.7" thickBot="1" x14ac:dyDescent="0.6">
      <c r="A825" s="1" t="s">
        <v>25</v>
      </c>
      <c r="B825" t="str">
        <f>VLOOKUP(A825,'Area Breakdown'!$B$1:$C$33,2,)</f>
        <v>October</v>
      </c>
      <c r="C825" s="2">
        <v>44323</v>
      </c>
      <c r="D825" s="3">
        <v>742</v>
      </c>
    </row>
    <row r="826" spans="1:4" ht="14.7" thickBot="1" x14ac:dyDescent="0.6">
      <c r="A826" s="1" t="s">
        <v>12</v>
      </c>
      <c r="B826" t="str">
        <f>VLOOKUP(A826,'Area Breakdown'!$B$1:$C$33,2,)</f>
        <v>New Cairo</v>
      </c>
      <c r="C826" s="2">
        <v>44323</v>
      </c>
      <c r="D826" s="3">
        <v>729.6</v>
      </c>
    </row>
    <row r="827" spans="1:4" ht="14.7" thickBot="1" x14ac:dyDescent="0.6">
      <c r="A827" s="1" t="s">
        <v>16</v>
      </c>
      <c r="B827" t="str">
        <f>VLOOKUP(A827,'Area Breakdown'!$B$1:$C$33,2,)</f>
        <v>Downtown</v>
      </c>
      <c r="C827" s="2">
        <v>44323</v>
      </c>
      <c r="D827" s="3">
        <v>666.80000000000007</v>
      </c>
    </row>
    <row r="828" spans="1:4" ht="14.7" thickBot="1" x14ac:dyDescent="0.6">
      <c r="A828" s="1" t="s">
        <v>0</v>
      </c>
      <c r="B828" t="str">
        <f>VLOOKUP(A828,'Area Breakdown'!$B$1:$C$33,2,)</f>
        <v>Downtown</v>
      </c>
      <c r="C828" s="2">
        <v>44323</v>
      </c>
      <c r="D828" s="3">
        <v>615.6</v>
      </c>
    </row>
    <row r="829" spans="1:4" ht="14.7" thickBot="1" x14ac:dyDescent="0.6">
      <c r="A829" s="1" t="s">
        <v>17</v>
      </c>
      <c r="B829" t="str">
        <f>VLOOKUP(A829,'Area Breakdown'!$B$1:$C$33,2,)</f>
        <v>Heliopolis</v>
      </c>
      <c r="C829" s="2">
        <v>44323</v>
      </c>
      <c r="D829" s="3">
        <v>607.6</v>
      </c>
    </row>
    <row r="830" spans="1:4" ht="14.7" thickBot="1" x14ac:dyDescent="0.6">
      <c r="A830" s="1" t="s">
        <v>19</v>
      </c>
      <c r="B830" t="str">
        <f>VLOOKUP(A830,'Area Breakdown'!$B$1:$C$33,2,)</f>
        <v>Downtown</v>
      </c>
      <c r="C830" s="2">
        <v>44323</v>
      </c>
      <c r="D830" s="3">
        <v>534</v>
      </c>
    </row>
    <row r="831" spans="1:4" ht="14.7" thickBot="1" x14ac:dyDescent="0.6">
      <c r="A831" s="1" t="s">
        <v>2</v>
      </c>
      <c r="B831" t="str">
        <f>VLOOKUP(A831,'Area Breakdown'!$B$1:$C$33,2,)</f>
        <v>Downtown</v>
      </c>
      <c r="C831" s="2">
        <v>44323</v>
      </c>
      <c r="D831" s="3">
        <v>444.40000000000003</v>
      </c>
    </row>
    <row r="832" spans="1:4" ht="14.7" thickBot="1" x14ac:dyDescent="0.6">
      <c r="A832" s="1" t="s">
        <v>10</v>
      </c>
      <c r="B832" t="str">
        <f>VLOOKUP(A832,'Area Breakdown'!$B$1:$C$33,2,)</f>
        <v xml:space="preserve">Alexandria </v>
      </c>
      <c r="C832" s="2">
        <v>44323</v>
      </c>
      <c r="D832" s="3">
        <v>368.40000000000003</v>
      </c>
    </row>
    <row r="833" spans="1:4" ht="14.7" thickBot="1" x14ac:dyDescent="0.6">
      <c r="A833" s="1" t="s">
        <v>3</v>
      </c>
      <c r="B833" t="str">
        <f>VLOOKUP(A833,'Area Breakdown'!$B$1:$C$33,2,)</f>
        <v>Downtown</v>
      </c>
      <c r="C833" s="2">
        <v>44323</v>
      </c>
      <c r="D833" s="3">
        <v>350</v>
      </c>
    </row>
    <row r="834" spans="1:4" ht="14.7" thickBot="1" x14ac:dyDescent="0.6">
      <c r="A834" s="1" t="s">
        <v>27</v>
      </c>
      <c r="B834" t="str">
        <f>VLOOKUP(A834,'Area Breakdown'!$B$1:$C$33,2,)</f>
        <v xml:space="preserve">Alexandria </v>
      </c>
      <c r="C834" s="2">
        <v>44323</v>
      </c>
      <c r="D834" s="3">
        <v>311.20000000000005</v>
      </c>
    </row>
    <row r="835" spans="1:4" ht="14.7" thickBot="1" x14ac:dyDescent="0.6">
      <c r="A835" s="1" t="s">
        <v>9</v>
      </c>
      <c r="B835" t="str">
        <f>VLOOKUP(A835,'Area Breakdown'!$B$1:$C$33,2,)</f>
        <v xml:space="preserve">Alexandria </v>
      </c>
      <c r="C835" s="2">
        <v>44323</v>
      </c>
      <c r="D835" s="3">
        <v>293.60000000000002</v>
      </c>
    </row>
    <row r="836" spans="1:4" ht="14.7" thickBot="1" x14ac:dyDescent="0.6">
      <c r="A836" s="1" t="s">
        <v>21</v>
      </c>
      <c r="B836" t="str">
        <f>VLOOKUP(A836,'Area Breakdown'!$B$1:$C$33,2,)</f>
        <v>Heliopolis</v>
      </c>
      <c r="C836" s="2">
        <v>44323</v>
      </c>
      <c r="D836" s="3">
        <v>264</v>
      </c>
    </row>
    <row r="837" spans="1:4" ht="14.7" thickBot="1" x14ac:dyDescent="0.6">
      <c r="A837" s="1" t="s">
        <v>20</v>
      </c>
      <c r="B837" t="str">
        <f>VLOOKUP(A837,'Area Breakdown'!$B$1:$C$33,2,)</f>
        <v>Downtown</v>
      </c>
      <c r="C837" s="2">
        <v>44323</v>
      </c>
      <c r="D837" s="3">
        <v>238.4</v>
      </c>
    </row>
    <row r="838" spans="1:4" ht="14.7" thickBot="1" x14ac:dyDescent="0.6">
      <c r="A838" s="1" t="s">
        <v>23</v>
      </c>
      <c r="B838" t="str">
        <f>VLOOKUP(A838,'Area Breakdown'!$B$1:$C$33,2,)</f>
        <v>Heliopolis</v>
      </c>
      <c r="C838" s="2">
        <v>44323</v>
      </c>
      <c r="D838" s="3">
        <v>236.4</v>
      </c>
    </row>
    <row r="839" spans="1:4" ht="14.7" thickBot="1" x14ac:dyDescent="0.6">
      <c r="A839" s="1" t="s">
        <v>1</v>
      </c>
      <c r="B839" t="str">
        <f>VLOOKUP(A839,'Area Breakdown'!$B$1:$C$33,2,)</f>
        <v>Downtown</v>
      </c>
      <c r="C839" s="2">
        <v>44323</v>
      </c>
      <c r="D839" s="3">
        <v>219.20000000000002</v>
      </c>
    </row>
    <row r="840" spans="1:4" ht="14.7" thickBot="1" x14ac:dyDescent="0.6">
      <c r="A840" s="1" t="s">
        <v>6</v>
      </c>
      <c r="B840" t="str">
        <f>VLOOKUP(A840,'Area Breakdown'!$B$1:$C$33,2,)</f>
        <v xml:space="preserve">Alexandria </v>
      </c>
      <c r="C840" s="2">
        <v>44323</v>
      </c>
      <c r="D840" s="3">
        <v>215.60000000000002</v>
      </c>
    </row>
    <row r="841" spans="1:4" ht="14.7" thickBot="1" x14ac:dyDescent="0.6">
      <c r="A841" s="1" t="s">
        <v>13</v>
      </c>
      <c r="B841" t="str">
        <f>VLOOKUP(A841,'Area Breakdown'!$B$1:$C$33,2,)</f>
        <v>Heliopolis</v>
      </c>
      <c r="C841" s="2">
        <v>44323</v>
      </c>
      <c r="D841" s="3">
        <v>143.20000000000002</v>
      </c>
    </row>
    <row r="842" spans="1:4" ht="14.7" thickBot="1" x14ac:dyDescent="0.6">
      <c r="A842" s="1" t="s">
        <v>4</v>
      </c>
      <c r="B842" t="str">
        <f>VLOOKUP(A842,'Area Breakdown'!$B$1:$C$33,2,)</f>
        <v>Downtown</v>
      </c>
      <c r="C842" s="2">
        <v>44323</v>
      </c>
      <c r="D842" s="3">
        <v>120.80000000000001</v>
      </c>
    </row>
    <row r="843" spans="1:4" ht="14.7" thickBot="1" x14ac:dyDescent="0.6">
      <c r="A843" s="1" t="s">
        <v>7</v>
      </c>
      <c r="B843" t="str">
        <f>VLOOKUP(A843,'Area Breakdown'!$B$1:$C$33,2,)</f>
        <v>October</v>
      </c>
      <c r="C843" s="2">
        <v>44323</v>
      </c>
      <c r="D843" s="3">
        <v>116</v>
      </c>
    </row>
    <row r="844" spans="1:4" ht="14.7" thickBot="1" x14ac:dyDescent="0.6">
      <c r="A844" s="1" t="s">
        <v>8</v>
      </c>
      <c r="B844" t="str">
        <f>VLOOKUP(A844,'Area Breakdown'!$B$1:$C$33,2,)</f>
        <v>Heliopolis</v>
      </c>
      <c r="C844" s="2">
        <v>44323</v>
      </c>
      <c r="D844" s="3">
        <v>107.60000000000001</v>
      </c>
    </row>
    <row r="845" spans="1:4" ht="14.7" thickBot="1" x14ac:dyDescent="0.6">
      <c r="A845" s="1" t="s">
        <v>11</v>
      </c>
      <c r="B845" t="str">
        <f>VLOOKUP(A845,'Area Breakdown'!$B$1:$C$33,2,)</f>
        <v>New Cairo</v>
      </c>
      <c r="C845" s="2">
        <v>44323</v>
      </c>
      <c r="D845" s="3">
        <v>72.400000000000006</v>
      </c>
    </row>
    <row r="846" spans="1:4" ht="14.7" thickBot="1" x14ac:dyDescent="0.6">
      <c r="A846" s="1" t="s">
        <v>22</v>
      </c>
      <c r="B846" t="str">
        <f>VLOOKUP(A846,'Area Breakdown'!$B$1:$C$33,2,)</f>
        <v>Heliopolis</v>
      </c>
      <c r="C846" s="2">
        <v>44324</v>
      </c>
      <c r="D846" s="3">
        <v>907.2</v>
      </c>
    </row>
    <row r="847" spans="1:4" ht="14.7" thickBot="1" x14ac:dyDescent="0.6">
      <c r="A847" s="1" t="s">
        <v>0</v>
      </c>
      <c r="B847" t="str">
        <f>VLOOKUP(A847,'Area Breakdown'!$B$1:$C$33,2,)</f>
        <v>Downtown</v>
      </c>
      <c r="C847" s="2">
        <v>44324</v>
      </c>
      <c r="D847" s="3">
        <v>520</v>
      </c>
    </row>
    <row r="848" spans="1:4" ht="14.7" thickBot="1" x14ac:dyDescent="0.6">
      <c r="A848" s="1" t="s">
        <v>3</v>
      </c>
      <c r="B848" t="str">
        <f>VLOOKUP(A848,'Area Breakdown'!$B$1:$C$33,2,)</f>
        <v>Downtown</v>
      </c>
      <c r="C848" s="2">
        <v>44324</v>
      </c>
      <c r="D848" s="3">
        <v>502.40000000000003</v>
      </c>
    </row>
    <row r="849" spans="1:4" ht="14.7" thickBot="1" x14ac:dyDescent="0.6">
      <c r="A849" s="1" t="s">
        <v>16</v>
      </c>
      <c r="B849" t="str">
        <f>VLOOKUP(A849,'Area Breakdown'!$B$1:$C$33,2,)</f>
        <v>Downtown</v>
      </c>
      <c r="C849" s="2">
        <v>44324</v>
      </c>
      <c r="D849" s="3">
        <v>490.8</v>
      </c>
    </row>
    <row r="850" spans="1:4" ht="14.7" thickBot="1" x14ac:dyDescent="0.6">
      <c r="A850" s="1" t="s">
        <v>19</v>
      </c>
      <c r="B850" t="str">
        <f>VLOOKUP(A850,'Area Breakdown'!$B$1:$C$33,2,)</f>
        <v>Downtown</v>
      </c>
      <c r="C850" s="2">
        <v>44324</v>
      </c>
      <c r="D850" s="3">
        <v>465.20000000000005</v>
      </c>
    </row>
    <row r="851" spans="1:4" ht="14.7" thickBot="1" x14ac:dyDescent="0.6">
      <c r="A851" s="1" t="s">
        <v>17</v>
      </c>
      <c r="B851" t="str">
        <f>VLOOKUP(A851,'Area Breakdown'!$B$1:$C$33,2,)</f>
        <v>Heliopolis</v>
      </c>
      <c r="C851" s="2">
        <v>44324</v>
      </c>
      <c r="D851" s="3">
        <v>446.8</v>
      </c>
    </row>
    <row r="852" spans="1:4" ht="14.7" thickBot="1" x14ac:dyDescent="0.6">
      <c r="A852" s="1" t="s">
        <v>25</v>
      </c>
      <c r="B852" t="str">
        <f>VLOOKUP(A852,'Area Breakdown'!$B$1:$C$33,2,)</f>
        <v>October</v>
      </c>
      <c r="C852" s="2">
        <v>44324</v>
      </c>
      <c r="D852" s="3">
        <v>422.40000000000003</v>
      </c>
    </row>
    <row r="853" spans="1:4" ht="14.7" thickBot="1" x14ac:dyDescent="0.6">
      <c r="A853" s="1" t="s">
        <v>9</v>
      </c>
      <c r="B853" t="str">
        <f>VLOOKUP(A853,'Area Breakdown'!$B$1:$C$33,2,)</f>
        <v xml:space="preserve">Alexandria </v>
      </c>
      <c r="C853" s="2">
        <v>44324</v>
      </c>
      <c r="D853" s="3">
        <v>406</v>
      </c>
    </row>
    <row r="854" spans="1:4" ht="14.7" thickBot="1" x14ac:dyDescent="0.6">
      <c r="A854" s="1" t="s">
        <v>2</v>
      </c>
      <c r="B854" t="str">
        <f>VLOOKUP(A854,'Area Breakdown'!$B$1:$C$33,2,)</f>
        <v>Downtown</v>
      </c>
      <c r="C854" s="2">
        <v>44324</v>
      </c>
      <c r="D854" s="3">
        <v>396.40000000000003</v>
      </c>
    </row>
    <row r="855" spans="1:4" ht="14.7" thickBot="1" x14ac:dyDescent="0.6">
      <c r="A855" s="1" t="s">
        <v>6</v>
      </c>
      <c r="B855" t="str">
        <f>VLOOKUP(A855,'Area Breakdown'!$B$1:$C$33,2,)</f>
        <v xml:space="preserve">Alexandria </v>
      </c>
      <c r="C855" s="2">
        <v>44324</v>
      </c>
      <c r="D855" s="3">
        <v>310</v>
      </c>
    </row>
    <row r="856" spans="1:4" ht="14.7" thickBot="1" x14ac:dyDescent="0.6">
      <c r="A856" s="1" t="s">
        <v>7</v>
      </c>
      <c r="B856" t="str">
        <f>VLOOKUP(A856,'Area Breakdown'!$B$1:$C$33,2,)</f>
        <v>October</v>
      </c>
      <c r="C856" s="2">
        <v>44324</v>
      </c>
      <c r="D856" s="3">
        <v>295.60000000000002</v>
      </c>
    </row>
    <row r="857" spans="1:4" ht="14.7" thickBot="1" x14ac:dyDescent="0.6">
      <c r="A857" s="1" t="s">
        <v>1</v>
      </c>
      <c r="B857" t="str">
        <f>VLOOKUP(A857,'Area Breakdown'!$B$1:$C$33,2,)</f>
        <v>Downtown</v>
      </c>
      <c r="C857" s="2">
        <v>44324</v>
      </c>
      <c r="D857" s="3">
        <v>269.2</v>
      </c>
    </row>
    <row r="858" spans="1:4" ht="14.7" thickBot="1" x14ac:dyDescent="0.6">
      <c r="A858" s="1" t="s">
        <v>20</v>
      </c>
      <c r="B858" t="str">
        <f>VLOOKUP(A858,'Area Breakdown'!$B$1:$C$33,2,)</f>
        <v>Downtown</v>
      </c>
      <c r="C858" s="2">
        <v>44324</v>
      </c>
      <c r="D858" s="3">
        <v>251.20000000000002</v>
      </c>
    </row>
    <row r="859" spans="1:4" ht="14.7" thickBot="1" x14ac:dyDescent="0.6">
      <c r="A859" s="1" t="s">
        <v>21</v>
      </c>
      <c r="B859" t="str">
        <f>VLOOKUP(A859,'Area Breakdown'!$B$1:$C$33,2,)</f>
        <v>Heliopolis</v>
      </c>
      <c r="C859" s="2">
        <v>44324</v>
      </c>
      <c r="D859" s="3">
        <v>210.4</v>
      </c>
    </row>
    <row r="860" spans="1:4" ht="14.7" thickBot="1" x14ac:dyDescent="0.6">
      <c r="A860" s="1" t="s">
        <v>8</v>
      </c>
      <c r="B860" t="str">
        <f>VLOOKUP(A860,'Area Breakdown'!$B$1:$C$33,2,)</f>
        <v>Heliopolis</v>
      </c>
      <c r="C860" s="2">
        <v>44324</v>
      </c>
      <c r="D860" s="3">
        <v>196.4</v>
      </c>
    </row>
    <row r="861" spans="1:4" ht="14.7" thickBot="1" x14ac:dyDescent="0.6">
      <c r="A861" s="1" t="s">
        <v>23</v>
      </c>
      <c r="B861" t="str">
        <f>VLOOKUP(A861,'Area Breakdown'!$B$1:$C$33,2,)</f>
        <v>Heliopolis</v>
      </c>
      <c r="C861" s="2">
        <v>44324</v>
      </c>
      <c r="D861" s="3">
        <v>191.60000000000002</v>
      </c>
    </row>
    <row r="862" spans="1:4" ht="14.7" thickBot="1" x14ac:dyDescent="0.6">
      <c r="A862" s="1" t="s">
        <v>15</v>
      </c>
      <c r="B862" t="str">
        <f>VLOOKUP(A862,'Area Breakdown'!$B$1:$C$33,2,)</f>
        <v>Heliopolis</v>
      </c>
      <c r="C862" s="2">
        <v>44324</v>
      </c>
      <c r="D862" s="3">
        <v>181.20000000000002</v>
      </c>
    </row>
    <row r="863" spans="1:4" ht="14.7" thickBot="1" x14ac:dyDescent="0.6">
      <c r="A863" s="1" t="s">
        <v>13</v>
      </c>
      <c r="B863" t="str">
        <f>VLOOKUP(A863,'Area Breakdown'!$B$1:$C$33,2,)</f>
        <v>Heliopolis</v>
      </c>
      <c r="C863" s="2">
        <v>44324</v>
      </c>
      <c r="D863" s="3">
        <v>178.4</v>
      </c>
    </row>
    <row r="864" spans="1:4" ht="14.7" thickBot="1" x14ac:dyDescent="0.6">
      <c r="A864" s="1" t="s">
        <v>27</v>
      </c>
      <c r="B864" t="str">
        <f>VLOOKUP(A864,'Area Breakdown'!$B$1:$C$33,2,)</f>
        <v xml:space="preserve">Alexandria </v>
      </c>
      <c r="C864" s="2">
        <v>44324</v>
      </c>
      <c r="D864" s="3">
        <v>158.80000000000001</v>
      </c>
    </row>
    <row r="865" spans="1:4" ht="14.7" thickBot="1" x14ac:dyDescent="0.6">
      <c r="A865" s="1" t="s">
        <v>4</v>
      </c>
      <c r="B865" t="str">
        <f>VLOOKUP(A865,'Area Breakdown'!$B$1:$C$33,2,)</f>
        <v>Downtown</v>
      </c>
      <c r="C865" s="2">
        <v>44324</v>
      </c>
      <c r="D865" s="3">
        <v>156.80000000000001</v>
      </c>
    </row>
    <row r="866" spans="1:4" ht="14.7" thickBot="1" x14ac:dyDescent="0.6">
      <c r="A866" s="1" t="s">
        <v>11</v>
      </c>
      <c r="B866" t="str">
        <f>VLOOKUP(A866,'Area Breakdown'!$B$1:$C$33,2,)</f>
        <v>New Cairo</v>
      </c>
      <c r="C866" s="2">
        <v>44324</v>
      </c>
      <c r="D866" s="3">
        <v>130</v>
      </c>
    </row>
    <row r="867" spans="1:4" ht="14.7" thickBot="1" x14ac:dyDescent="0.6">
      <c r="A867" s="1" t="s">
        <v>10</v>
      </c>
      <c r="B867" t="str">
        <f>VLOOKUP(A867,'Area Breakdown'!$B$1:$C$33,2,)</f>
        <v xml:space="preserve">Alexandria </v>
      </c>
      <c r="C867" s="2">
        <v>44324</v>
      </c>
      <c r="D867" s="3">
        <v>121.60000000000001</v>
      </c>
    </row>
    <row r="868" spans="1:4" ht="14.7" thickBot="1" x14ac:dyDescent="0.6">
      <c r="A868" s="1" t="s">
        <v>22</v>
      </c>
      <c r="B868" t="str">
        <f>VLOOKUP(A868,'Area Breakdown'!$B$1:$C$33,2,)</f>
        <v>Heliopolis</v>
      </c>
      <c r="C868" s="2">
        <v>44325</v>
      </c>
      <c r="D868" s="3">
        <v>1114.4000000000001</v>
      </c>
    </row>
    <row r="869" spans="1:4" ht="14.7" thickBot="1" x14ac:dyDescent="0.6">
      <c r="A869" s="1" t="s">
        <v>12</v>
      </c>
      <c r="B869" t="str">
        <f>VLOOKUP(A869,'Area Breakdown'!$B$1:$C$33,2,)</f>
        <v>New Cairo</v>
      </c>
      <c r="C869" s="2">
        <v>44325</v>
      </c>
      <c r="D869" s="3">
        <v>924.80000000000007</v>
      </c>
    </row>
    <row r="870" spans="1:4" ht="14.7" thickBot="1" x14ac:dyDescent="0.6">
      <c r="A870" s="1" t="s">
        <v>25</v>
      </c>
      <c r="B870" t="str">
        <f>VLOOKUP(A870,'Area Breakdown'!$B$1:$C$33,2,)</f>
        <v>October</v>
      </c>
      <c r="C870" s="2">
        <v>44325</v>
      </c>
      <c r="D870" s="3">
        <v>572</v>
      </c>
    </row>
    <row r="871" spans="1:4" ht="14.7" thickBot="1" x14ac:dyDescent="0.6">
      <c r="A871" s="1" t="s">
        <v>0</v>
      </c>
      <c r="B871" t="str">
        <f>VLOOKUP(A871,'Area Breakdown'!$B$1:$C$33,2,)</f>
        <v>Downtown</v>
      </c>
      <c r="C871" s="2">
        <v>44325</v>
      </c>
      <c r="D871" s="3">
        <v>534</v>
      </c>
    </row>
    <row r="872" spans="1:4" ht="14.7" thickBot="1" x14ac:dyDescent="0.6">
      <c r="A872" s="1" t="s">
        <v>19</v>
      </c>
      <c r="B872" t="str">
        <f>VLOOKUP(A872,'Area Breakdown'!$B$1:$C$33,2,)</f>
        <v>Downtown</v>
      </c>
      <c r="C872" s="2">
        <v>44325</v>
      </c>
      <c r="D872" s="3">
        <v>517.6</v>
      </c>
    </row>
    <row r="873" spans="1:4" ht="14.7" thickBot="1" x14ac:dyDescent="0.6">
      <c r="A873" s="1" t="s">
        <v>13</v>
      </c>
      <c r="B873" t="str">
        <f>VLOOKUP(A873,'Area Breakdown'!$B$1:$C$33,2,)</f>
        <v>Heliopolis</v>
      </c>
      <c r="C873" s="2">
        <v>44325</v>
      </c>
      <c r="D873" s="3">
        <v>438.40000000000003</v>
      </c>
    </row>
    <row r="874" spans="1:4" ht="14.7" thickBot="1" x14ac:dyDescent="0.6">
      <c r="A874" s="1" t="s">
        <v>16</v>
      </c>
      <c r="B874" t="str">
        <f>VLOOKUP(A874,'Area Breakdown'!$B$1:$C$33,2,)</f>
        <v>Downtown</v>
      </c>
      <c r="C874" s="2">
        <v>44325</v>
      </c>
      <c r="D874" s="3">
        <v>428</v>
      </c>
    </row>
    <row r="875" spans="1:4" ht="14.7" thickBot="1" x14ac:dyDescent="0.6">
      <c r="A875" s="1" t="s">
        <v>7</v>
      </c>
      <c r="B875" t="str">
        <f>VLOOKUP(A875,'Area Breakdown'!$B$1:$C$33,2,)</f>
        <v>October</v>
      </c>
      <c r="C875" s="2">
        <v>44325</v>
      </c>
      <c r="D875" s="3">
        <v>356</v>
      </c>
    </row>
    <row r="876" spans="1:4" ht="14.7" thickBot="1" x14ac:dyDescent="0.6">
      <c r="A876" s="1" t="s">
        <v>20</v>
      </c>
      <c r="B876" t="str">
        <f>VLOOKUP(A876,'Area Breakdown'!$B$1:$C$33,2,)</f>
        <v>Downtown</v>
      </c>
      <c r="C876" s="2">
        <v>44325</v>
      </c>
      <c r="D876" s="3">
        <v>342</v>
      </c>
    </row>
    <row r="877" spans="1:4" ht="14.7" thickBot="1" x14ac:dyDescent="0.6">
      <c r="A877" s="1" t="s">
        <v>9</v>
      </c>
      <c r="B877" t="str">
        <f>VLOOKUP(A877,'Area Breakdown'!$B$1:$C$33,2,)</f>
        <v xml:space="preserve">Alexandria </v>
      </c>
      <c r="C877" s="2">
        <v>44325</v>
      </c>
      <c r="D877" s="3">
        <v>331.20000000000005</v>
      </c>
    </row>
    <row r="878" spans="1:4" ht="14.7" thickBot="1" x14ac:dyDescent="0.6">
      <c r="A878" s="1" t="s">
        <v>3</v>
      </c>
      <c r="B878" t="str">
        <f>VLOOKUP(A878,'Area Breakdown'!$B$1:$C$33,2,)</f>
        <v>Downtown</v>
      </c>
      <c r="C878" s="2">
        <v>44325</v>
      </c>
      <c r="D878" s="3">
        <v>311.60000000000002</v>
      </c>
    </row>
    <row r="879" spans="1:4" ht="14.7" thickBot="1" x14ac:dyDescent="0.6">
      <c r="A879" s="1" t="s">
        <v>17</v>
      </c>
      <c r="B879" t="str">
        <f>VLOOKUP(A879,'Area Breakdown'!$B$1:$C$33,2,)</f>
        <v>Heliopolis</v>
      </c>
      <c r="C879" s="2">
        <v>44325</v>
      </c>
      <c r="D879" s="3">
        <v>259.60000000000002</v>
      </c>
    </row>
    <row r="880" spans="1:4" ht="14.7" thickBot="1" x14ac:dyDescent="0.6">
      <c r="A880" s="1" t="s">
        <v>6</v>
      </c>
      <c r="B880" t="str">
        <f>VLOOKUP(A880,'Area Breakdown'!$B$1:$C$33,2,)</f>
        <v xml:space="preserve">Alexandria </v>
      </c>
      <c r="C880" s="2">
        <v>44325</v>
      </c>
      <c r="D880" s="3">
        <v>238.4</v>
      </c>
    </row>
    <row r="881" spans="1:4" ht="14.7" thickBot="1" x14ac:dyDescent="0.6">
      <c r="A881" s="1" t="s">
        <v>1</v>
      </c>
      <c r="B881" t="str">
        <f>VLOOKUP(A881,'Area Breakdown'!$B$1:$C$33,2,)</f>
        <v>Downtown</v>
      </c>
      <c r="C881" s="2">
        <v>44325</v>
      </c>
      <c r="D881" s="3">
        <v>225.60000000000002</v>
      </c>
    </row>
    <row r="882" spans="1:4" ht="14.7" thickBot="1" x14ac:dyDescent="0.6">
      <c r="A882" s="1" t="s">
        <v>10</v>
      </c>
      <c r="B882" t="str">
        <f>VLOOKUP(A882,'Area Breakdown'!$B$1:$C$33,2,)</f>
        <v xml:space="preserve">Alexandria </v>
      </c>
      <c r="C882" s="2">
        <v>44325</v>
      </c>
      <c r="D882" s="3">
        <v>222.4</v>
      </c>
    </row>
    <row r="883" spans="1:4" ht="14.7" thickBot="1" x14ac:dyDescent="0.6">
      <c r="A883" s="1" t="s">
        <v>27</v>
      </c>
      <c r="B883" t="str">
        <f>VLOOKUP(A883,'Area Breakdown'!$B$1:$C$33,2,)</f>
        <v xml:space="preserve">Alexandria </v>
      </c>
      <c r="C883" s="2">
        <v>44325</v>
      </c>
      <c r="D883" s="3">
        <v>198.8</v>
      </c>
    </row>
    <row r="884" spans="1:4" ht="14.7" thickBot="1" x14ac:dyDescent="0.6">
      <c r="A884" s="1" t="s">
        <v>15</v>
      </c>
      <c r="B884" t="str">
        <f>VLOOKUP(A884,'Area Breakdown'!$B$1:$C$33,2,)</f>
        <v>Heliopolis</v>
      </c>
      <c r="C884" s="2">
        <v>44325</v>
      </c>
      <c r="D884" s="3">
        <v>140.4</v>
      </c>
    </row>
    <row r="885" spans="1:4" ht="14.7" thickBot="1" x14ac:dyDescent="0.6">
      <c r="A885" s="1" t="s">
        <v>8</v>
      </c>
      <c r="B885" t="str">
        <f>VLOOKUP(A885,'Area Breakdown'!$B$1:$C$33,2,)</f>
        <v>Heliopolis</v>
      </c>
      <c r="C885" s="2">
        <v>44325</v>
      </c>
      <c r="D885" s="3">
        <v>119.60000000000001</v>
      </c>
    </row>
    <row r="886" spans="1:4" ht="14.7" thickBot="1" x14ac:dyDescent="0.6">
      <c r="A886" s="1" t="s">
        <v>23</v>
      </c>
      <c r="B886" t="str">
        <f>VLOOKUP(A886,'Area Breakdown'!$B$1:$C$33,2,)</f>
        <v>Heliopolis</v>
      </c>
      <c r="C886" s="2">
        <v>44325</v>
      </c>
      <c r="D886" s="3">
        <v>111.2</v>
      </c>
    </row>
    <row r="887" spans="1:4" ht="14.7" thickBot="1" x14ac:dyDescent="0.6">
      <c r="A887" s="1" t="s">
        <v>11</v>
      </c>
      <c r="B887" t="str">
        <f>VLOOKUP(A887,'Area Breakdown'!$B$1:$C$33,2,)</f>
        <v>New Cairo</v>
      </c>
      <c r="C887" s="2">
        <v>44325</v>
      </c>
      <c r="D887" s="3">
        <v>97.600000000000009</v>
      </c>
    </row>
    <row r="888" spans="1:4" ht="14.7" thickBot="1" x14ac:dyDescent="0.6">
      <c r="A888" s="1" t="s">
        <v>4</v>
      </c>
      <c r="B888" t="str">
        <f>VLOOKUP(A888,'Area Breakdown'!$B$1:$C$33,2,)</f>
        <v>Downtown</v>
      </c>
      <c r="C888" s="2">
        <v>44325</v>
      </c>
      <c r="D888" s="3">
        <v>81.2</v>
      </c>
    </row>
    <row r="889" spans="1:4" ht="14.7" thickBot="1" x14ac:dyDescent="0.6">
      <c r="A889" s="1" t="s">
        <v>12</v>
      </c>
      <c r="B889" t="str">
        <f>VLOOKUP(A889,'Area Breakdown'!$B$1:$C$33,2,)</f>
        <v>New Cairo</v>
      </c>
      <c r="C889" s="2">
        <v>44326</v>
      </c>
      <c r="D889" s="3">
        <v>883.6</v>
      </c>
    </row>
    <row r="890" spans="1:4" ht="14.7" thickBot="1" x14ac:dyDescent="0.6">
      <c r="A890" s="1" t="s">
        <v>22</v>
      </c>
      <c r="B890" t="str">
        <f>VLOOKUP(A890,'Area Breakdown'!$B$1:$C$33,2,)</f>
        <v>Heliopolis</v>
      </c>
      <c r="C890" s="2">
        <v>44326</v>
      </c>
      <c r="D890" s="3">
        <v>814.80000000000007</v>
      </c>
    </row>
    <row r="891" spans="1:4" ht="14.7" thickBot="1" x14ac:dyDescent="0.6">
      <c r="A891" s="1" t="s">
        <v>16</v>
      </c>
      <c r="B891" t="str">
        <f>VLOOKUP(A891,'Area Breakdown'!$B$1:$C$33,2,)</f>
        <v>Downtown</v>
      </c>
      <c r="C891" s="2">
        <v>44326</v>
      </c>
      <c r="D891" s="3">
        <v>590.4</v>
      </c>
    </row>
    <row r="892" spans="1:4" ht="14.7" thickBot="1" x14ac:dyDescent="0.6">
      <c r="A892" s="1" t="s">
        <v>21</v>
      </c>
      <c r="B892" t="str">
        <f>VLOOKUP(A892,'Area Breakdown'!$B$1:$C$33,2,)</f>
        <v>Heliopolis</v>
      </c>
      <c r="C892" s="2">
        <v>44326</v>
      </c>
      <c r="D892" s="3">
        <v>516</v>
      </c>
    </row>
    <row r="893" spans="1:4" ht="14.7" thickBot="1" x14ac:dyDescent="0.6">
      <c r="A893" s="1" t="s">
        <v>6</v>
      </c>
      <c r="B893" t="str">
        <f>VLOOKUP(A893,'Area Breakdown'!$B$1:$C$33,2,)</f>
        <v xml:space="preserve">Alexandria </v>
      </c>
      <c r="C893" s="2">
        <v>44326</v>
      </c>
      <c r="D893" s="3">
        <v>511.20000000000005</v>
      </c>
    </row>
    <row r="894" spans="1:4" ht="14.7" thickBot="1" x14ac:dyDescent="0.6">
      <c r="A894" s="1" t="s">
        <v>24</v>
      </c>
      <c r="B894" t="str">
        <f>VLOOKUP(A894,'Area Breakdown'!$B$1:$C$33,2,)</f>
        <v>October</v>
      </c>
      <c r="C894" s="2">
        <v>44326</v>
      </c>
      <c r="D894" s="3">
        <v>468.8</v>
      </c>
    </row>
    <row r="895" spans="1:4" ht="14.7" thickBot="1" x14ac:dyDescent="0.6">
      <c r="A895" s="1" t="s">
        <v>17</v>
      </c>
      <c r="B895" t="str">
        <f>VLOOKUP(A895,'Area Breakdown'!$B$1:$C$33,2,)</f>
        <v>Heliopolis</v>
      </c>
      <c r="C895" s="2">
        <v>44326</v>
      </c>
      <c r="D895" s="3">
        <v>442.40000000000003</v>
      </c>
    </row>
    <row r="896" spans="1:4" ht="14.7" thickBot="1" x14ac:dyDescent="0.6">
      <c r="A896" s="1" t="s">
        <v>0</v>
      </c>
      <c r="B896" t="str">
        <f>VLOOKUP(A896,'Area Breakdown'!$B$1:$C$33,2,)</f>
        <v>Downtown</v>
      </c>
      <c r="C896" s="2">
        <v>44326</v>
      </c>
      <c r="D896" s="3">
        <v>410.8</v>
      </c>
    </row>
    <row r="897" spans="1:4" ht="14.7" thickBot="1" x14ac:dyDescent="0.6">
      <c r="A897" s="1" t="s">
        <v>19</v>
      </c>
      <c r="B897" t="str">
        <f>VLOOKUP(A897,'Area Breakdown'!$B$1:$C$33,2,)</f>
        <v>Downtown</v>
      </c>
      <c r="C897" s="2">
        <v>44326</v>
      </c>
      <c r="D897" s="3">
        <v>383.6</v>
      </c>
    </row>
    <row r="898" spans="1:4" ht="14.7" thickBot="1" x14ac:dyDescent="0.6">
      <c r="A898" s="1" t="s">
        <v>27</v>
      </c>
      <c r="B898" t="str">
        <f>VLOOKUP(A898,'Area Breakdown'!$B$1:$C$33,2,)</f>
        <v xml:space="preserve">Alexandria </v>
      </c>
      <c r="C898" s="2">
        <v>44326</v>
      </c>
      <c r="D898" s="3">
        <v>378.40000000000003</v>
      </c>
    </row>
    <row r="899" spans="1:4" ht="14.7" thickBot="1" x14ac:dyDescent="0.6">
      <c r="A899" s="1" t="s">
        <v>25</v>
      </c>
      <c r="B899" t="str">
        <f>VLOOKUP(A899,'Area Breakdown'!$B$1:$C$33,2,)</f>
        <v>October</v>
      </c>
      <c r="C899" s="2">
        <v>44326</v>
      </c>
      <c r="D899" s="3">
        <v>364.8</v>
      </c>
    </row>
    <row r="900" spans="1:4" ht="14.7" thickBot="1" x14ac:dyDescent="0.6">
      <c r="A900" s="1" t="s">
        <v>23</v>
      </c>
      <c r="B900" t="str">
        <f>VLOOKUP(A900,'Area Breakdown'!$B$1:$C$33,2,)</f>
        <v>Heliopolis</v>
      </c>
      <c r="C900" s="2">
        <v>44326</v>
      </c>
      <c r="D900" s="3">
        <v>339.20000000000005</v>
      </c>
    </row>
    <row r="901" spans="1:4" ht="14.7" thickBot="1" x14ac:dyDescent="0.6">
      <c r="A901" s="1" t="s">
        <v>9</v>
      </c>
      <c r="B901" t="str">
        <f>VLOOKUP(A901,'Area Breakdown'!$B$1:$C$33,2,)</f>
        <v xml:space="preserve">Alexandria </v>
      </c>
      <c r="C901" s="2">
        <v>44326</v>
      </c>
      <c r="D901" s="3">
        <v>329.6</v>
      </c>
    </row>
    <row r="902" spans="1:4" ht="14.7" thickBot="1" x14ac:dyDescent="0.6">
      <c r="A902" s="1" t="s">
        <v>20</v>
      </c>
      <c r="B902" t="str">
        <f>VLOOKUP(A902,'Area Breakdown'!$B$1:$C$33,2,)</f>
        <v>Downtown</v>
      </c>
      <c r="C902" s="2">
        <v>44326</v>
      </c>
      <c r="D902" s="3">
        <v>319.60000000000002</v>
      </c>
    </row>
    <row r="903" spans="1:4" ht="14.7" thickBot="1" x14ac:dyDescent="0.6">
      <c r="A903" s="1" t="s">
        <v>2</v>
      </c>
      <c r="B903" t="str">
        <f>VLOOKUP(A903,'Area Breakdown'!$B$1:$C$33,2,)</f>
        <v>Downtown</v>
      </c>
      <c r="C903" s="2">
        <v>44326</v>
      </c>
      <c r="D903" s="3">
        <v>298.8</v>
      </c>
    </row>
    <row r="904" spans="1:4" ht="14.7" thickBot="1" x14ac:dyDescent="0.6">
      <c r="A904" s="1" t="s">
        <v>3</v>
      </c>
      <c r="B904" t="str">
        <f>VLOOKUP(A904,'Area Breakdown'!$B$1:$C$33,2,)</f>
        <v>Downtown</v>
      </c>
      <c r="C904" s="2">
        <v>44326</v>
      </c>
      <c r="D904" s="3">
        <v>244.4</v>
      </c>
    </row>
    <row r="905" spans="1:4" ht="14.7" thickBot="1" x14ac:dyDescent="0.6">
      <c r="A905" s="1" t="s">
        <v>15</v>
      </c>
      <c r="B905" t="str">
        <f>VLOOKUP(A905,'Area Breakdown'!$B$1:$C$33,2,)</f>
        <v>Heliopolis</v>
      </c>
      <c r="C905" s="2">
        <v>44326</v>
      </c>
      <c r="D905" s="3">
        <v>184.4</v>
      </c>
    </row>
    <row r="906" spans="1:4" ht="14.7" thickBot="1" x14ac:dyDescent="0.6">
      <c r="A906" s="1" t="s">
        <v>13</v>
      </c>
      <c r="B906" t="str">
        <f>VLOOKUP(A906,'Area Breakdown'!$B$1:$C$33,2,)</f>
        <v>Heliopolis</v>
      </c>
      <c r="C906" s="2">
        <v>44326</v>
      </c>
      <c r="D906" s="3">
        <v>174.4</v>
      </c>
    </row>
    <row r="907" spans="1:4" ht="14.7" thickBot="1" x14ac:dyDescent="0.6">
      <c r="A907" s="1" t="s">
        <v>1</v>
      </c>
      <c r="B907" t="str">
        <f>VLOOKUP(A907,'Area Breakdown'!$B$1:$C$33,2,)</f>
        <v>Downtown</v>
      </c>
      <c r="C907" s="2">
        <v>44326</v>
      </c>
      <c r="D907" s="3">
        <v>157.20000000000002</v>
      </c>
    </row>
    <row r="908" spans="1:4" ht="14.7" thickBot="1" x14ac:dyDescent="0.6">
      <c r="A908" s="1" t="s">
        <v>8</v>
      </c>
      <c r="B908" t="str">
        <f>VLOOKUP(A908,'Area Breakdown'!$B$1:$C$33,2,)</f>
        <v>Heliopolis</v>
      </c>
      <c r="C908" s="2">
        <v>44326</v>
      </c>
      <c r="D908" s="3">
        <v>150</v>
      </c>
    </row>
    <row r="909" spans="1:4" ht="14.7" thickBot="1" x14ac:dyDescent="0.6">
      <c r="A909" s="1" t="s">
        <v>7</v>
      </c>
      <c r="B909" t="str">
        <f>VLOOKUP(A909,'Area Breakdown'!$B$1:$C$33,2,)</f>
        <v>October</v>
      </c>
      <c r="C909" s="2">
        <v>44326</v>
      </c>
      <c r="D909" s="3">
        <v>127.60000000000001</v>
      </c>
    </row>
    <row r="910" spans="1:4" ht="14.7" thickBot="1" x14ac:dyDescent="0.6">
      <c r="A910" s="1" t="s">
        <v>10</v>
      </c>
      <c r="B910" t="str">
        <f>VLOOKUP(A910,'Area Breakdown'!$B$1:$C$33,2,)</f>
        <v xml:space="preserve">Alexandria </v>
      </c>
      <c r="C910" s="2">
        <v>44326</v>
      </c>
      <c r="D910" s="3">
        <v>93.2</v>
      </c>
    </row>
    <row r="911" spans="1:4" ht="14.7" thickBot="1" x14ac:dyDescent="0.6">
      <c r="A911" s="1" t="s">
        <v>4</v>
      </c>
      <c r="B911" t="str">
        <f>VLOOKUP(A911,'Area Breakdown'!$B$1:$C$33,2,)</f>
        <v>Downtown</v>
      </c>
      <c r="C911" s="2">
        <v>44326</v>
      </c>
      <c r="D911" s="3">
        <v>20.400000000000002</v>
      </c>
    </row>
    <row r="912" spans="1:4" ht="14.7" thickBot="1" x14ac:dyDescent="0.6">
      <c r="A912" s="1" t="s">
        <v>11</v>
      </c>
      <c r="B912" t="str">
        <f>VLOOKUP(A912,'Area Breakdown'!$B$1:$C$33,2,)</f>
        <v>New Cairo</v>
      </c>
      <c r="C912" s="2">
        <v>44326</v>
      </c>
      <c r="D912" s="3">
        <v>17.600000000000001</v>
      </c>
    </row>
    <row r="913" spans="1:4" ht="14.7" thickBot="1" x14ac:dyDescent="0.6">
      <c r="A913" s="1" t="s">
        <v>24</v>
      </c>
      <c r="B913" t="str">
        <f>VLOOKUP(A913,'Area Breakdown'!$B$1:$C$33,2,)</f>
        <v>October</v>
      </c>
      <c r="C913" s="2">
        <v>44327</v>
      </c>
      <c r="D913" s="3">
        <v>881.2</v>
      </c>
    </row>
    <row r="914" spans="1:4" ht="14.7" thickBot="1" x14ac:dyDescent="0.6">
      <c r="A914" s="1" t="s">
        <v>12</v>
      </c>
      <c r="B914" t="str">
        <f>VLOOKUP(A914,'Area Breakdown'!$B$1:$C$33,2,)</f>
        <v>New Cairo</v>
      </c>
      <c r="C914" s="2">
        <v>44327</v>
      </c>
      <c r="D914" s="3">
        <v>777.6</v>
      </c>
    </row>
    <row r="915" spans="1:4" ht="14.7" thickBot="1" x14ac:dyDescent="0.6">
      <c r="A915" s="1" t="s">
        <v>0</v>
      </c>
      <c r="B915" t="str">
        <f>VLOOKUP(A915,'Area Breakdown'!$B$1:$C$33,2,)</f>
        <v>Downtown</v>
      </c>
      <c r="C915" s="2">
        <v>44327</v>
      </c>
      <c r="D915" s="3">
        <v>618.40000000000009</v>
      </c>
    </row>
    <row r="916" spans="1:4" ht="14.7" thickBot="1" x14ac:dyDescent="0.6">
      <c r="A916" s="1" t="s">
        <v>22</v>
      </c>
      <c r="B916" t="str">
        <f>VLOOKUP(A916,'Area Breakdown'!$B$1:$C$33,2,)</f>
        <v>Heliopolis</v>
      </c>
      <c r="C916" s="2">
        <v>44327</v>
      </c>
      <c r="D916" s="3">
        <v>544.4</v>
      </c>
    </row>
    <row r="917" spans="1:4" ht="14.7" thickBot="1" x14ac:dyDescent="0.6">
      <c r="A917" s="1" t="s">
        <v>23</v>
      </c>
      <c r="B917" t="str">
        <f>VLOOKUP(A917,'Area Breakdown'!$B$1:$C$33,2,)</f>
        <v>Heliopolis</v>
      </c>
      <c r="C917" s="2">
        <v>44327</v>
      </c>
      <c r="D917" s="3">
        <v>448</v>
      </c>
    </row>
    <row r="918" spans="1:4" ht="14.7" thickBot="1" x14ac:dyDescent="0.6">
      <c r="A918" s="1" t="s">
        <v>16</v>
      </c>
      <c r="B918" t="str">
        <f>VLOOKUP(A918,'Area Breakdown'!$B$1:$C$33,2,)</f>
        <v>Downtown</v>
      </c>
      <c r="C918" s="2">
        <v>44327</v>
      </c>
      <c r="D918" s="3">
        <v>443.6</v>
      </c>
    </row>
    <row r="919" spans="1:4" ht="14.7" thickBot="1" x14ac:dyDescent="0.6">
      <c r="A919" s="1" t="s">
        <v>27</v>
      </c>
      <c r="B919" t="str">
        <f>VLOOKUP(A919,'Area Breakdown'!$B$1:$C$33,2,)</f>
        <v xml:space="preserve">Alexandria </v>
      </c>
      <c r="C919" s="2">
        <v>44327</v>
      </c>
      <c r="D919" s="3">
        <v>410.8</v>
      </c>
    </row>
    <row r="920" spans="1:4" ht="14.7" thickBot="1" x14ac:dyDescent="0.6">
      <c r="A920" s="1" t="s">
        <v>25</v>
      </c>
      <c r="B920" t="str">
        <f>VLOOKUP(A920,'Area Breakdown'!$B$1:$C$33,2,)</f>
        <v>October</v>
      </c>
      <c r="C920" s="2">
        <v>44327</v>
      </c>
      <c r="D920" s="3">
        <v>388.8</v>
      </c>
    </row>
    <row r="921" spans="1:4" ht="14.7" thickBot="1" x14ac:dyDescent="0.6">
      <c r="A921" s="1" t="s">
        <v>3</v>
      </c>
      <c r="B921" t="str">
        <f>VLOOKUP(A921,'Area Breakdown'!$B$1:$C$33,2,)</f>
        <v>Downtown</v>
      </c>
      <c r="C921" s="2">
        <v>44327</v>
      </c>
      <c r="D921" s="3">
        <v>359.6</v>
      </c>
    </row>
    <row r="922" spans="1:4" ht="14.7" thickBot="1" x14ac:dyDescent="0.6">
      <c r="A922" s="1" t="s">
        <v>21</v>
      </c>
      <c r="B922" t="str">
        <f>VLOOKUP(A922,'Area Breakdown'!$B$1:$C$33,2,)</f>
        <v>Heliopolis</v>
      </c>
      <c r="C922" s="2">
        <v>44327</v>
      </c>
      <c r="D922" s="3">
        <v>356.8</v>
      </c>
    </row>
    <row r="923" spans="1:4" ht="14.7" thickBot="1" x14ac:dyDescent="0.6">
      <c r="A923" s="1" t="s">
        <v>19</v>
      </c>
      <c r="B923" t="str">
        <f>VLOOKUP(A923,'Area Breakdown'!$B$1:$C$33,2,)</f>
        <v>Downtown</v>
      </c>
      <c r="C923" s="2">
        <v>44327</v>
      </c>
      <c r="D923" s="3">
        <v>336</v>
      </c>
    </row>
    <row r="924" spans="1:4" ht="14.7" thickBot="1" x14ac:dyDescent="0.6">
      <c r="A924" s="1" t="s">
        <v>2</v>
      </c>
      <c r="B924" t="str">
        <f>VLOOKUP(A924,'Area Breakdown'!$B$1:$C$33,2,)</f>
        <v>Downtown</v>
      </c>
      <c r="C924" s="2">
        <v>44327</v>
      </c>
      <c r="D924" s="3">
        <v>310</v>
      </c>
    </row>
    <row r="925" spans="1:4" ht="14.7" thickBot="1" x14ac:dyDescent="0.6">
      <c r="A925" s="1" t="s">
        <v>17</v>
      </c>
      <c r="B925" t="str">
        <f>VLOOKUP(A925,'Area Breakdown'!$B$1:$C$33,2,)</f>
        <v>Heliopolis</v>
      </c>
      <c r="C925" s="2">
        <v>44327</v>
      </c>
      <c r="D925" s="3">
        <v>296.8</v>
      </c>
    </row>
    <row r="926" spans="1:4" ht="14.7" thickBot="1" x14ac:dyDescent="0.6">
      <c r="A926" s="1" t="s">
        <v>20</v>
      </c>
      <c r="B926" t="str">
        <f>VLOOKUP(A926,'Area Breakdown'!$B$1:$C$33,2,)</f>
        <v>Downtown</v>
      </c>
      <c r="C926" s="2">
        <v>44327</v>
      </c>
      <c r="D926" s="3">
        <v>284.8</v>
      </c>
    </row>
    <row r="927" spans="1:4" ht="14.7" thickBot="1" x14ac:dyDescent="0.6">
      <c r="A927" s="1" t="s">
        <v>1</v>
      </c>
      <c r="B927" t="str">
        <f>VLOOKUP(A927,'Area Breakdown'!$B$1:$C$33,2,)</f>
        <v>Downtown</v>
      </c>
      <c r="C927" s="2">
        <v>44327</v>
      </c>
      <c r="D927" s="3">
        <v>266</v>
      </c>
    </row>
    <row r="928" spans="1:4" ht="14.7" thickBot="1" x14ac:dyDescent="0.6">
      <c r="A928" s="1" t="s">
        <v>9</v>
      </c>
      <c r="B928" t="str">
        <f>VLOOKUP(A928,'Area Breakdown'!$B$1:$C$33,2,)</f>
        <v xml:space="preserve">Alexandria </v>
      </c>
      <c r="C928" s="2">
        <v>44327</v>
      </c>
      <c r="D928" s="3">
        <v>234.4</v>
      </c>
    </row>
    <row r="929" spans="1:4" ht="14.7" thickBot="1" x14ac:dyDescent="0.6">
      <c r="A929" s="1" t="s">
        <v>10</v>
      </c>
      <c r="B929" t="str">
        <f>VLOOKUP(A929,'Area Breakdown'!$B$1:$C$33,2,)</f>
        <v xml:space="preserve">Alexandria </v>
      </c>
      <c r="C929" s="2">
        <v>44327</v>
      </c>
      <c r="D929" s="3">
        <v>191.20000000000002</v>
      </c>
    </row>
    <row r="930" spans="1:4" ht="14.7" thickBot="1" x14ac:dyDescent="0.6">
      <c r="A930" s="1" t="s">
        <v>6</v>
      </c>
      <c r="B930" t="str">
        <f>VLOOKUP(A930,'Area Breakdown'!$B$1:$C$33,2,)</f>
        <v xml:space="preserve">Alexandria </v>
      </c>
      <c r="C930" s="2">
        <v>44327</v>
      </c>
      <c r="D930" s="3">
        <v>152</v>
      </c>
    </row>
    <row r="931" spans="1:4" ht="14.7" thickBot="1" x14ac:dyDescent="0.6">
      <c r="A931" s="1" t="s">
        <v>8</v>
      </c>
      <c r="B931" t="str">
        <f>VLOOKUP(A931,'Area Breakdown'!$B$1:$C$33,2,)</f>
        <v>Heliopolis</v>
      </c>
      <c r="C931" s="2">
        <v>44327</v>
      </c>
      <c r="D931" s="3">
        <v>151.6</v>
      </c>
    </row>
    <row r="932" spans="1:4" ht="14.7" thickBot="1" x14ac:dyDescent="0.6">
      <c r="A932" s="1" t="s">
        <v>15</v>
      </c>
      <c r="B932" t="str">
        <f>VLOOKUP(A932,'Area Breakdown'!$B$1:$C$33,2,)</f>
        <v>Heliopolis</v>
      </c>
      <c r="C932" s="2">
        <v>44327</v>
      </c>
      <c r="D932" s="3">
        <v>147.20000000000002</v>
      </c>
    </row>
    <row r="933" spans="1:4" ht="14.7" thickBot="1" x14ac:dyDescent="0.6">
      <c r="A933" s="1" t="s">
        <v>7</v>
      </c>
      <c r="B933" t="str">
        <f>VLOOKUP(A933,'Area Breakdown'!$B$1:$C$33,2,)</f>
        <v>October</v>
      </c>
      <c r="C933" s="2">
        <v>44327</v>
      </c>
      <c r="D933" s="3">
        <v>120</v>
      </c>
    </row>
    <row r="934" spans="1:4" ht="14.7" thickBot="1" x14ac:dyDescent="0.6">
      <c r="A934" s="1" t="s">
        <v>4</v>
      </c>
      <c r="B934" t="str">
        <f>VLOOKUP(A934,'Area Breakdown'!$B$1:$C$33,2,)</f>
        <v>Downtown</v>
      </c>
      <c r="C934" s="2">
        <v>44327</v>
      </c>
      <c r="D934" s="3">
        <v>63.2</v>
      </c>
    </row>
    <row r="935" spans="1:4" ht="14.7" thickBot="1" x14ac:dyDescent="0.6">
      <c r="A935" s="1" t="s">
        <v>13</v>
      </c>
      <c r="B935" t="str">
        <f>VLOOKUP(A935,'Area Breakdown'!$B$1:$C$33,2,)</f>
        <v>Heliopolis</v>
      </c>
      <c r="C935" s="2">
        <v>44327</v>
      </c>
      <c r="D935" s="3">
        <v>55.6</v>
      </c>
    </row>
    <row r="936" spans="1:4" ht="14.7" thickBot="1" x14ac:dyDescent="0.6">
      <c r="A936" s="1" t="s">
        <v>12</v>
      </c>
      <c r="B936" t="str">
        <f>VLOOKUP(A936,'Area Breakdown'!$B$1:$C$33,2,)</f>
        <v>New Cairo</v>
      </c>
      <c r="C936" s="2">
        <v>44328</v>
      </c>
      <c r="D936" s="3">
        <v>718.40000000000009</v>
      </c>
    </row>
    <row r="937" spans="1:4" ht="14.7" thickBot="1" x14ac:dyDescent="0.6">
      <c r="A937" s="1" t="s">
        <v>2</v>
      </c>
      <c r="B937" t="str">
        <f>VLOOKUP(A937,'Area Breakdown'!$B$1:$C$33,2,)</f>
        <v>Downtown</v>
      </c>
      <c r="C937" s="2">
        <v>44328</v>
      </c>
      <c r="D937" s="3">
        <v>558.80000000000007</v>
      </c>
    </row>
    <row r="938" spans="1:4" ht="14.7" thickBot="1" x14ac:dyDescent="0.6">
      <c r="A938" s="1" t="s">
        <v>22</v>
      </c>
      <c r="B938" t="str">
        <f>VLOOKUP(A938,'Area Breakdown'!$B$1:$C$33,2,)</f>
        <v>Heliopolis</v>
      </c>
      <c r="C938" s="2">
        <v>44328</v>
      </c>
      <c r="D938" s="3">
        <v>528.4</v>
      </c>
    </row>
    <row r="939" spans="1:4" ht="14.7" thickBot="1" x14ac:dyDescent="0.6">
      <c r="A939" s="1" t="s">
        <v>16</v>
      </c>
      <c r="B939" t="str">
        <f>VLOOKUP(A939,'Area Breakdown'!$B$1:$C$33,2,)</f>
        <v>Downtown</v>
      </c>
      <c r="C939" s="2">
        <v>44328</v>
      </c>
      <c r="D939" s="3">
        <v>474</v>
      </c>
    </row>
    <row r="940" spans="1:4" ht="14.7" thickBot="1" x14ac:dyDescent="0.6">
      <c r="A940" s="1" t="s">
        <v>25</v>
      </c>
      <c r="B940" t="str">
        <f>VLOOKUP(A940,'Area Breakdown'!$B$1:$C$33,2,)</f>
        <v>October</v>
      </c>
      <c r="C940" s="2">
        <v>44328</v>
      </c>
      <c r="D940" s="3">
        <v>461.6</v>
      </c>
    </row>
    <row r="941" spans="1:4" ht="14.7" thickBot="1" x14ac:dyDescent="0.6">
      <c r="A941" s="1" t="s">
        <v>6</v>
      </c>
      <c r="B941" t="str">
        <f>VLOOKUP(A941,'Area Breakdown'!$B$1:$C$33,2,)</f>
        <v xml:space="preserve">Alexandria </v>
      </c>
      <c r="C941" s="2">
        <v>44328</v>
      </c>
      <c r="D941" s="3">
        <v>396.8</v>
      </c>
    </row>
    <row r="942" spans="1:4" ht="14.7" thickBot="1" x14ac:dyDescent="0.6">
      <c r="A942" s="1" t="s">
        <v>19</v>
      </c>
      <c r="B942" t="str">
        <f>VLOOKUP(A942,'Area Breakdown'!$B$1:$C$33,2,)</f>
        <v>Downtown</v>
      </c>
      <c r="C942" s="2">
        <v>44328</v>
      </c>
      <c r="D942" s="3">
        <v>372.8</v>
      </c>
    </row>
    <row r="943" spans="1:4" ht="14.7" thickBot="1" x14ac:dyDescent="0.6">
      <c r="A943" s="1" t="s">
        <v>0</v>
      </c>
      <c r="B943" t="str">
        <f>VLOOKUP(A943,'Area Breakdown'!$B$1:$C$33,2,)</f>
        <v>Downtown</v>
      </c>
      <c r="C943" s="2">
        <v>44328</v>
      </c>
      <c r="D943" s="3">
        <v>352</v>
      </c>
    </row>
    <row r="944" spans="1:4" ht="14.7" thickBot="1" x14ac:dyDescent="0.6">
      <c r="A944" s="1" t="s">
        <v>21</v>
      </c>
      <c r="B944" t="str">
        <f>VLOOKUP(A944,'Area Breakdown'!$B$1:$C$33,2,)</f>
        <v>Heliopolis</v>
      </c>
      <c r="C944" s="2">
        <v>44328</v>
      </c>
      <c r="D944" s="3">
        <v>330.8</v>
      </c>
    </row>
    <row r="945" spans="1:4" ht="14.7" thickBot="1" x14ac:dyDescent="0.6">
      <c r="A945" s="1" t="s">
        <v>24</v>
      </c>
      <c r="B945" t="str">
        <f>VLOOKUP(A945,'Area Breakdown'!$B$1:$C$33,2,)</f>
        <v>October</v>
      </c>
      <c r="C945" s="2">
        <v>44328</v>
      </c>
      <c r="D945" s="3">
        <v>298.40000000000003</v>
      </c>
    </row>
    <row r="946" spans="1:4" ht="14.7" thickBot="1" x14ac:dyDescent="0.6">
      <c r="A946" s="1" t="s">
        <v>9</v>
      </c>
      <c r="B946" t="str">
        <f>VLOOKUP(A946,'Area Breakdown'!$B$1:$C$33,2,)</f>
        <v xml:space="preserve">Alexandria </v>
      </c>
      <c r="C946" s="2">
        <v>44328</v>
      </c>
      <c r="D946" s="3">
        <v>292.8</v>
      </c>
    </row>
    <row r="947" spans="1:4" ht="14.7" thickBot="1" x14ac:dyDescent="0.6">
      <c r="A947" s="1" t="s">
        <v>10</v>
      </c>
      <c r="B947" t="str">
        <f>VLOOKUP(A947,'Area Breakdown'!$B$1:$C$33,2,)</f>
        <v xml:space="preserve">Alexandria </v>
      </c>
      <c r="C947" s="2">
        <v>44328</v>
      </c>
      <c r="D947" s="3">
        <v>291.60000000000002</v>
      </c>
    </row>
    <row r="948" spans="1:4" ht="14.7" thickBot="1" x14ac:dyDescent="0.6">
      <c r="A948" s="1" t="s">
        <v>3</v>
      </c>
      <c r="B948" t="str">
        <f>VLOOKUP(A948,'Area Breakdown'!$B$1:$C$33,2,)</f>
        <v>Downtown</v>
      </c>
      <c r="C948" s="2">
        <v>44328</v>
      </c>
      <c r="D948" s="3">
        <v>273.2</v>
      </c>
    </row>
    <row r="949" spans="1:4" ht="14.7" thickBot="1" x14ac:dyDescent="0.6">
      <c r="A949" s="1" t="s">
        <v>20</v>
      </c>
      <c r="B949" t="str">
        <f>VLOOKUP(A949,'Area Breakdown'!$B$1:$C$33,2,)</f>
        <v>Downtown</v>
      </c>
      <c r="C949" s="2">
        <v>44328</v>
      </c>
      <c r="D949" s="3">
        <v>254.8</v>
      </c>
    </row>
    <row r="950" spans="1:4" ht="14.7" thickBot="1" x14ac:dyDescent="0.6">
      <c r="A950" s="1" t="s">
        <v>23</v>
      </c>
      <c r="B950" t="str">
        <f>VLOOKUP(A950,'Area Breakdown'!$B$1:$C$33,2,)</f>
        <v>Heliopolis</v>
      </c>
      <c r="C950" s="2">
        <v>44328</v>
      </c>
      <c r="D950" s="3">
        <v>252</v>
      </c>
    </row>
    <row r="951" spans="1:4" ht="14.7" thickBot="1" x14ac:dyDescent="0.6">
      <c r="A951" s="1" t="s">
        <v>27</v>
      </c>
      <c r="B951" t="str">
        <f>VLOOKUP(A951,'Area Breakdown'!$B$1:$C$33,2,)</f>
        <v xml:space="preserve">Alexandria </v>
      </c>
      <c r="C951" s="2">
        <v>44328</v>
      </c>
      <c r="D951" s="3">
        <v>240</v>
      </c>
    </row>
    <row r="952" spans="1:4" ht="14.7" thickBot="1" x14ac:dyDescent="0.6">
      <c r="A952" s="1" t="s">
        <v>17</v>
      </c>
      <c r="B952" t="str">
        <f>VLOOKUP(A952,'Area Breakdown'!$B$1:$C$33,2,)</f>
        <v>Heliopolis</v>
      </c>
      <c r="C952" s="2">
        <v>44328</v>
      </c>
      <c r="D952" s="3">
        <v>234.8</v>
      </c>
    </row>
    <row r="953" spans="1:4" ht="14.7" thickBot="1" x14ac:dyDescent="0.6">
      <c r="A953" s="1" t="s">
        <v>1</v>
      </c>
      <c r="B953" t="str">
        <f>VLOOKUP(A953,'Area Breakdown'!$B$1:$C$33,2,)</f>
        <v>Downtown</v>
      </c>
      <c r="C953" s="2">
        <v>44328</v>
      </c>
      <c r="D953" s="3">
        <v>206.8</v>
      </c>
    </row>
    <row r="954" spans="1:4" ht="14.7" thickBot="1" x14ac:dyDescent="0.6">
      <c r="A954" s="1" t="s">
        <v>7</v>
      </c>
      <c r="B954" t="str">
        <f>VLOOKUP(A954,'Area Breakdown'!$B$1:$C$33,2,)</f>
        <v>October</v>
      </c>
      <c r="C954" s="2">
        <v>44328</v>
      </c>
      <c r="D954" s="3">
        <v>146.80000000000001</v>
      </c>
    </row>
    <row r="955" spans="1:4" ht="14.7" thickBot="1" x14ac:dyDescent="0.6">
      <c r="A955" s="1" t="s">
        <v>13</v>
      </c>
      <c r="B955" t="str">
        <f>VLOOKUP(A955,'Area Breakdown'!$B$1:$C$33,2,)</f>
        <v>Heliopolis</v>
      </c>
      <c r="C955" s="2">
        <v>44328</v>
      </c>
      <c r="D955" s="3">
        <v>130.80000000000001</v>
      </c>
    </row>
    <row r="956" spans="1:4" ht="14.7" thickBot="1" x14ac:dyDescent="0.6">
      <c r="A956" s="1" t="s">
        <v>4</v>
      </c>
      <c r="B956" t="str">
        <f>VLOOKUP(A956,'Area Breakdown'!$B$1:$C$33,2,)</f>
        <v>Downtown</v>
      </c>
      <c r="C956" s="2">
        <v>44328</v>
      </c>
      <c r="D956" s="3">
        <v>120.4</v>
      </c>
    </row>
    <row r="957" spans="1:4" ht="14.7" thickBot="1" x14ac:dyDescent="0.6">
      <c r="A957" s="1" t="s">
        <v>15</v>
      </c>
      <c r="B957" t="str">
        <f>VLOOKUP(A957,'Area Breakdown'!$B$1:$C$33,2,)</f>
        <v>Heliopolis</v>
      </c>
      <c r="C957" s="2">
        <v>44328</v>
      </c>
      <c r="D957" s="3">
        <v>67.2</v>
      </c>
    </row>
    <row r="958" spans="1:4" ht="14.7" thickBot="1" x14ac:dyDescent="0.6">
      <c r="A958" s="1" t="s">
        <v>8</v>
      </c>
      <c r="B958" t="str">
        <f>VLOOKUP(A958,'Area Breakdown'!$B$1:$C$33,2,)</f>
        <v>Heliopolis</v>
      </c>
      <c r="C958" s="2">
        <v>44328</v>
      </c>
      <c r="D958" s="3">
        <v>55.6</v>
      </c>
    </row>
    <row r="959" spans="1:4" ht="14.7" thickBot="1" x14ac:dyDescent="0.6">
      <c r="A959" s="1" t="s">
        <v>22</v>
      </c>
      <c r="B959" t="str">
        <f>VLOOKUP(A959,'Area Breakdown'!$B$1:$C$33,2,)</f>
        <v>Heliopolis</v>
      </c>
      <c r="C959" s="2">
        <v>44329</v>
      </c>
      <c r="D959" s="3">
        <v>1144</v>
      </c>
    </row>
    <row r="960" spans="1:4" ht="14.7" thickBot="1" x14ac:dyDescent="0.6">
      <c r="A960" s="1" t="s">
        <v>12</v>
      </c>
      <c r="B960" t="str">
        <f>VLOOKUP(A960,'Area Breakdown'!$B$1:$C$33,2,)</f>
        <v>New Cairo</v>
      </c>
      <c r="C960" s="2">
        <v>44329</v>
      </c>
      <c r="D960" s="3">
        <v>1134</v>
      </c>
    </row>
    <row r="961" spans="1:4" ht="14.7" thickBot="1" x14ac:dyDescent="0.6">
      <c r="A961" s="1" t="s">
        <v>2</v>
      </c>
      <c r="B961" t="str">
        <f>VLOOKUP(A961,'Area Breakdown'!$B$1:$C$33,2,)</f>
        <v>Downtown</v>
      </c>
      <c r="C961" s="2">
        <v>44329</v>
      </c>
      <c r="D961" s="3">
        <v>920</v>
      </c>
    </row>
    <row r="962" spans="1:4" ht="14.7" thickBot="1" x14ac:dyDescent="0.6">
      <c r="A962" s="1" t="s">
        <v>16</v>
      </c>
      <c r="B962" t="str">
        <f>VLOOKUP(A962,'Area Breakdown'!$B$1:$C$33,2,)</f>
        <v>Downtown</v>
      </c>
      <c r="C962" s="2">
        <v>44329</v>
      </c>
      <c r="D962" s="3">
        <v>812.80000000000007</v>
      </c>
    </row>
    <row r="963" spans="1:4" ht="14.7" thickBot="1" x14ac:dyDescent="0.6">
      <c r="A963" s="1" t="s">
        <v>21</v>
      </c>
      <c r="B963" t="str">
        <f>VLOOKUP(A963,'Area Breakdown'!$B$1:$C$33,2,)</f>
        <v>Heliopolis</v>
      </c>
      <c r="C963" s="2">
        <v>44329</v>
      </c>
      <c r="D963" s="3">
        <v>802.40000000000009</v>
      </c>
    </row>
    <row r="964" spans="1:4" ht="14.7" thickBot="1" x14ac:dyDescent="0.6">
      <c r="A964" s="1" t="s">
        <v>0</v>
      </c>
      <c r="B964" t="str">
        <f>VLOOKUP(A964,'Area Breakdown'!$B$1:$C$33,2,)</f>
        <v>Downtown</v>
      </c>
      <c r="C964" s="2">
        <v>44329</v>
      </c>
      <c r="D964" s="3">
        <v>779.6</v>
      </c>
    </row>
    <row r="965" spans="1:4" ht="14.7" thickBot="1" x14ac:dyDescent="0.6">
      <c r="A965" s="1" t="s">
        <v>25</v>
      </c>
      <c r="B965" t="str">
        <f>VLOOKUP(A965,'Area Breakdown'!$B$1:$C$33,2,)</f>
        <v>October</v>
      </c>
      <c r="C965" s="2">
        <v>44329</v>
      </c>
      <c r="D965" s="3">
        <v>744.40000000000009</v>
      </c>
    </row>
    <row r="966" spans="1:4" ht="14.7" thickBot="1" x14ac:dyDescent="0.6">
      <c r="A966" s="1" t="s">
        <v>24</v>
      </c>
      <c r="B966" t="str">
        <f>VLOOKUP(A966,'Area Breakdown'!$B$1:$C$33,2,)</f>
        <v>October</v>
      </c>
      <c r="C966" s="2">
        <v>44329</v>
      </c>
      <c r="D966" s="3">
        <v>706.80000000000007</v>
      </c>
    </row>
    <row r="967" spans="1:4" ht="14.7" thickBot="1" x14ac:dyDescent="0.6">
      <c r="A967" s="1" t="s">
        <v>3</v>
      </c>
      <c r="B967" t="str">
        <f>VLOOKUP(A967,'Area Breakdown'!$B$1:$C$33,2,)</f>
        <v>Downtown</v>
      </c>
      <c r="C967" s="2">
        <v>44329</v>
      </c>
      <c r="D967" s="3">
        <v>652.80000000000007</v>
      </c>
    </row>
    <row r="968" spans="1:4" ht="14.7" thickBot="1" x14ac:dyDescent="0.6">
      <c r="A968" s="1" t="s">
        <v>17</v>
      </c>
      <c r="B968" t="str">
        <f>VLOOKUP(A968,'Area Breakdown'!$B$1:$C$33,2,)</f>
        <v>Heliopolis</v>
      </c>
      <c r="C968" s="2">
        <v>44329</v>
      </c>
      <c r="D968" s="3">
        <v>596.4</v>
      </c>
    </row>
    <row r="969" spans="1:4" ht="14.7" thickBot="1" x14ac:dyDescent="0.6">
      <c r="A969" s="1" t="s">
        <v>19</v>
      </c>
      <c r="B969" t="str">
        <f>VLOOKUP(A969,'Area Breakdown'!$B$1:$C$33,2,)</f>
        <v>Downtown</v>
      </c>
      <c r="C969" s="2">
        <v>44329</v>
      </c>
      <c r="D969" s="3">
        <v>544.4</v>
      </c>
    </row>
    <row r="970" spans="1:4" ht="14.7" thickBot="1" x14ac:dyDescent="0.6">
      <c r="A970" s="1" t="s">
        <v>20</v>
      </c>
      <c r="B970" t="str">
        <f>VLOOKUP(A970,'Area Breakdown'!$B$1:$C$33,2,)</f>
        <v>Downtown</v>
      </c>
      <c r="C970" s="2">
        <v>44329</v>
      </c>
      <c r="D970" s="3">
        <v>511.20000000000005</v>
      </c>
    </row>
    <row r="971" spans="1:4" ht="14.7" thickBot="1" x14ac:dyDescent="0.6">
      <c r="A971" s="1" t="s">
        <v>23</v>
      </c>
      <c r="B971" t="str">
        <f>VLOOKUP(A971,'Area Breakdown'!$B$1:$C$33,2,)</f>
        <v>Heliopolis</v>
      </c>
      <c r="C971" s="2">
        <v>44329</v>
      </c>
      <c r="D971" s="3">
        <v>467.20000000000005</v>
      </c>
    </row>
    <row r="972" spans="1:4" ht="14.7" thickBot="1" x14ac:dyDescent="0.6">
      <c r="A972" s="1" t="s">
        <v>1</v>
      </c>
      <c r="B972" t="str">
        <f>VLOOKUP(A972,'Area Breakdown'!$B$1:$C$33,2,)</f>
        <v>Downtown</v>
      </c>
      <c r="C972" s="2">
        <v>44329</v>
      </c>
      <c r="D972" s="3">
        <v>407.6</v>
      </c>
    </row>
    <row r="973" spans="1:4" ht="14.7" thickBot="1" x14ac:dyDescent="0.6">
      <c r="A973" s="1" t="s">
        <v>9</v>
      </c>
      <c r="B973" t="str">
        <f>VLOOKUP(A973,'Area Breakdown'!$B$1:$C$33,2,)</f>
        <v xml:space="preserve">Alexandria </v>
      </c>
      <c r="C973" s="2">
        <v>44329</v>
      </c>
      <c r="D973" s="3">
        <v>326</v>
      </c>
    </row>
    <row r="974" spans="1:4" ht="14.7" thickBot="1" x14ac:dyDescent="0.6">
      <c r="A974" s="1" t="s">
        <v>4</v>
      </c>
      <c r="B974" t="str">
        <f>VLOOKUP(A974,'Area Breakdown'!$B$1:$C$33,2,)</f>
        <v>Downtown</v>
      </c>
      <c r="C974" s="2">
        <v>44329</v>
      </c>
      <c r="D974" s="3">
        <v>312.40000000000003</v>
      </c>
    </row>
    <row r="975" spans="1:4" ht="14.7" thickBot="1" x14ac:dyDescent="0.6">
      <c r="A975" s="1" t="s">
        <v>6</v>
      </c>
      <c r="B975" t="str">
        <f>VLOOKUP(A975,'Area Breakdown'!$B$1:$C$33,2,)</f>
        <v xml:space="preserve">Alexandria </v>
      </c>
      <c r="C975" s="2">
        <v>44329</v>
      </c>
      <c r="D975" s="3">
        <v>304.8</v>
      </c>
    </row>
    <row r="976" spans="1:4" ht="14.7" thickBot="1" x14ac:dyDescent="0.6">
      <c r="A976" s="1" t="s">
        <v>8</v>
      </c>
      <c r="B976" t="str">
        <f>VLOOKUP(A976,'Area Breakdown'!$B$1:$C$33,2,)</f>
        <v>Heliopolis</v>
      </c>
      <c r="C976" s="2">
        <v>44329</v>
      </c>
      <c r="D976" s="3">
        <v>235.20000000000002</v>
      </c>
    </row>
    <row r="977" spans="1:4" ht="14.7" thickBot="1" x14ac:dyDescent="0.6">
      <c r="A977" s="1" t="s">
        <v>27</v>
      </c>
      <c r="B977" t="str">
        <f>VLOOKUP(A977,'Area Breakdown'!$B$1:$C$33,2,)</f>
        <v xml:space="preserve">Alexandria </v>
      </c>
      <c r="C977" s="2">
        <v>44329</v>
      </c>
      <c r="D977" s="3">
        <v>232.8</v>
      </c>
    </row>
    <row r="978" spans="1:4" ht="14.7" thickBot="1" x14ac:dyDescent="0.6">
      <c r="A978" s="1" t="s">
        <v>13</v>
      </c>
      <c r="B978" t="str">
        <f>VLOOKUP(A978,'Area Breakdown'!$B$1:$C$33,2,)</f>
        <v>Heliopolis</v>
      </c>
      <c r="C978" s="2">
        <v>44329</v>
      </c>
      <c r="D978" s="3">
        <v>164.4</v>
      </c>
    </row>
    <row r="979" spans="1:4" ht="14.7" thickBot="1" x14ac:dyDescent="0.6">
      <c r="A979" s="1" t="s">
        <v>15</v>
      </c>
      <c r="B979" t="str">
        <f>VLOOKUP(A979,'Area Breakdown'!$B$1:$C$33,2,)</f>
        <v>Heliopolis</v>
      </c>
      <c r="C979" s="2">
        <v>44329</v>
      </c>
      <c r="D979" s="3">
        <v>154.80000000000001</v>
      </c>
    </row>
    <row r="980" spans="1:4" ht="14.7" thickBot="1" x14ac:dyDescent="0.6">
      <c r="A980" s="1" t="s">
        <v>7</v>
      </c>
      <c r="B980" t="str">
        <f>VLOOKUP(A980,'Area Breakdown'!$B$1:$C$33,2,)</f>
        <v>October</v>
      </c>
      <c r="C980" s="2">
        <v>44329</v>
      </c>
      <c r="D980" s="3">
        <v>65.2</v>
      </c>
    </row>
    <row r="981" spans="1:4" ht="14.7" thickBot="1" x14ac:dyDescent="0.6">
      <c r="A981" s="1" t="s">
        <v>10</v>
      </c>
      <c r="B981" t="str">
        <f>VLOOKUP(A981,'Area Breakdown'!$B$1:$C$33,2,)</f>
        <v xml:space="preserve">Alexandria </v>
      </c>
      <c r="C981" s="2">
        <v>44329</v>
      </c>
      <c r="D981" s="3">
        <v>57.6</v>
      </c>
    </row>
    <row r="982" spans="1:4" ht="14.7" thickBot="1" x14ac:dyDescent="0.6">
      <c r="A982" s="1" t="s">
        <v>22</v>
      </c>
      <c r="B982" t="str">
        <f>VLOOKUP(A982,'Area Breakdown'!$B$1:$C$33,2,)</f>
        <v>Heliopolis</v>
      </c>
      <c r="C982" s="2">
        <v>44330</v>
      </c>
      <c r="D982" s="3">
        <v>1609.2</v>
      </c>
    </row>
    <row r="983" spans="1:4" ht="14.7" thickBot="1" x14ac:dyDescent="0.6">
      <c r="A983" s="1" t="s">
        <v>25</v>
      </c>
      <c r="B983" t="str">
        <f>VLOOKUP(A983,'Area Breakdown'!$B$1:$C$33,2,)</f>
        <v>October</v>
      </c>
      <c r="C983" s="2">
        <v>44330</v>
      </c>
      <c r="D983" s="3">
        <v>1050.4000000000001</v>
      </c>
    </row>
    <row r="984" spans="1:4" ht="14.7" thickBot="1" x14ac:dyDescent="0.6">
      <c r="A984" s="1" t="s">
        <v>12</v>
      </c>
      <c r="B984" t="str">
        <f>VLOOKUP(A984,'Area Breakdown'!$B$1:$C$33,2,)</f>
        <v>New Cairo</v>
      </c>
      <c r="C984" s="2">
        <v>44330</v>
      </c>
      <c r="D984" s="3">
        <v>961.6</v>
      </c>
    </row>
    <row r="985" spans="1:4" ht="14.7" thickBot="1" x14ac:dyDescent="0.6">
      <c r="A985" s="1" t="s">
        <v>0</v>
      </c>
      <c r="B985" t="str">
        <f>VLOOKUP(A985,'Area Breakdown'!$B$1:$C$33,2,)</f>
        <v>Downtown</v>
      </c>
      <c r="C985" s="2">
        <v>44330</v>
      </c>
      <c r="D985" s="3">
        <v>914</v>
      </c>
    </row>
    <row r="986" spans="1:4" ht="14.7" thickBot="1" x14ac:dyDescent="0.6">
      <c r="A986" s="1" t="s">
        <v>16</v>
      </c>
      <c r="B986" t="str">
        <f>VLOOKUP(A986,'Area Breakdown'!$B$1:$C$33,2,)</f>
        <v>Downtown</v>
      </c>
      <c r="C986" s="2">
        <v>44330</v>
      </c>
      <c r="D986" s="3">
        <v>901.2</v>
      </c>
    </row>
    <row r="987" spans="1:4" ht="14.7" thickBot="1" x14ac:dyDescent="0.6">
      <c r="A987" s="1" t="s">
        <v>9</v>
      </c>
      <c r="B987" t="str">
        <f>VLOOKUP(A987,'Area Breakdown'!$B$1:$C$33,2,)</f>
        <v xml:space="preserve">Alexandria </v>
      </c>
      <c r="C987" s="2">
        <v>44330</v>
      </c>
      <c r="D987" s="3">
        <v>642.40000000000009</v>
      </c>
    </row>
    <row r="988" spans="1:4" ht="14.7" thickBot="1" x14ac:dyDescent="0.6">
      <c r="A988" s="1" t="s">
        <v>23</v>
      </c>
      <c r="B988" t="str">
        <f>VLOOKUP(A988,'Area Breakdown'!$B$1:$C$33,2,)</f>
        <v>Heliopolis</v>
      </c>
      <c r="C988" s="2">
        <v>44330</v>
      </c>
      <c r="D988" s="3">
        <v>608</v>
      </c>
    </row>
    <row r="989" spans="1:4" ht="14.7" thickBot="1" x14ac:dyDescent="0.6">
      <c r="A989" s="1" t="s">
        <v>3</v>
      </c>
      <c r="B989" t="str">
        <f>VLOOKUP(A989,'Area Breakdown'!$B$1:$C$33,2,)</f>
        <v>Downtown</v>
      </c>
      <c r="C989" s="2">
        <v>44330</v>
      </c>
      <c r="D989" s="3">
        <v>575.6</v>
      </c>
    </row>
    <row r="990" spans="1:4" ht="14.7" thickBot="1" x14ac:dyDescent="0.6">
      <c r="A990" s="1" t="s">
        <v>2</v>
      </c>
      <c r="B990" t="str">
        <f>VLOOKUP(A990,'Area Breakdown'!$B$1:$C$33,2,)</f>
        <v>Downtown</v>
      </c>
      <c r="C990" s="2">
        <v>44330</v>
      </c>
      <c r="D990" s="3">
        <v>473.20000000000005</v>
      </c>
    </row>
    <row r="991" spans="1:4" ht="14.7" thickBot="1" x14ac:dyDescent="0.6">
      <c r="A991" s="1" t="s">
        <v>24</v>
      </c>
      <c r="B991" t="str">
        <f>VLOOKUP(A991,'Area Breakdown'!$B$1:$C$33,2,)</f>
        <v>October</v>
      </c>
      <c r="C991" s="2">
        <v>44330</v>
      </c>
      <c r="D991" s="3">
        <v>465.6</v>
      </c>
    </row>
    <row r="992" spans="1:4" ht="14.7" thickBot="1" x14ac:dyDescent="0.6">
      <c r="A992" s="1" t="s">
        <v>4</v>
      </c>
      <c r="B992" t="str">
        <f>VLOOKUP(A992,'Area Breakdown'!$B$1:$C$33,2,)</f>
        <v>Downtown</v>
      </c>
      <c r="C992" s="2">
        <v>44330</v>
      </c>
      <c r="D992" s="3">
        <v>428.40000000000003</v>
      </c>
    </row>
    <row r="993" spans="1:4" ht="14.7" thickBot="1" x14ac:dyDescent="0.6">
      <c r="A993" s="1" t="s">
        <v>27</v>
      </c>
      <c r="B993" t="str">
        <f>VLOOKUP(A993,'Area Breakdown'!$B$1:$C$33,2,)</f>
        <v xml:space="preserve">Alexandria </v>
      </c>
      <c r="C993" s="2">
        <v>44330</v>
      </c>
      <c r="D993" s="3">
        <v>401.6</v>
      </c>
    </row>
    <row r="994" spans="1:4" ht="14.7" thickBot="1" x14ac:dyDescent="0.6">
      <c r="A994" s="1" t="s">
        <v>17</v>
      </c>
      <c r="B994" t="str">
        <f>VLOOKUP(A994,'Area Breakdown'!$B$1:$C$33,2,)</f>
        <v>Heliopolis</v>
      </c>
      <c r="C994" s="2">
        <v>44330</v>
      </c>
      <c r="D994" s="3">
        <v>356</v>
      </c>
    </row>
    <row r="995" spans="1:4" ht="14.7" thickBot="1" x14ac:dyDescent="0.6">
      <c r="A995" s="1" t="s">
        <v>20</v>
      </c>
      <c r="B995" t="str">
        <f>VLOOKUP(A995,'Area Breakdown'!$B$1:$C$33,2,)</f>
        <v>Downtown</v>
      </c>
      <c r="C995" s="2">
        <v>44330</v>
      </c>
      <c r="D995" s="3">
        <v>341.6</v>
      </c>
    </row>
    <row r="996" spans="1:4" ht="14.7" thickBot="1" x14ac:dyDescent="0.6">
      <c r="A996" s="1" t="s">
        <v>19</v>
      </c>
      <c r="B996" t="str">
        <f>VLOOKUP(A996,'Area Breakdown'!$B$1:$C$33,2,)</f>
        <v>Downtown</v>
      </c>
      <c r="C996" s="2">
        <v>44330</v>
      </c>
      <c r="D996" s="3">
        <v>324.8</v>
      </c>
    </row>
    <row r="997" spans="1:4" ht="14.7" thickBot="1" x14ac:dyDescent="0.6">
      <c r="A997" s="1" t="s">
        <v>1</v>
      </c>
      <c r="B997" t="str">
        <f>VLOOKUP(A997,'Area Breakdown'!$B$1:$C$33,2,)</f>
        <v>Downtown</v>
      </c>
      <c r="C997" s="2">
        <v>44330</v>
      </c>
      <c r="D997" s="3">
        <v>316.40000000000003</v>
      </c>
    </row>
    <row r="998" spans="1:4" ht="14.7" thickBot="1" x14ac:dyDescent="0.6">
      <c r="A998" s="1" t="s">
        <v>10</v>
      </c>
      <c r="B998" t="str">
        <f>VLOOKUP(A998,'Area Breakdown'!$B$1:$C$33,2,)</f>
        <v xml:space="preserve">Alexandria </v>
      </c>
      <c r="C998" s="2">
        <v>44330</v>
      </c>
      <c r="D998" s="3">
        <v>278</v>
      </c>
    </row>
    <row r="999" spans="1:4" ht="14.7" thickBot="1" x14ac:dyDescent="0.6">
      <c r="A999" s="1" t="s">
        <v>21</v>
      </c>
      <c r="B999" t="str">
        <f>VLOOKUP(A999,'Area Breakdown'!$B$1:$C$33,2,)</f>
        <v>Heliopolis</v>
      </c>
      <c r="C999" s="2">
        <v>44330</v>
      </c>
      <c r="D999" s="3">
        <v>269.60000000000002</v>
      </c>
    </row>
    <row r="1000" spans="1:4" ht="14.7" thickBot="1" x14ac:dyDescent="0.6">
      <c r="A1000" s="1" t="s">
        <v>6</v>
      </c>
      <c r="B1000" t="str">
        <f>VLOOKUP(A1000,'Area Breakdown'!$B$1:$C$33,2,)</f>
        <v xml:space="preserve">Alexandria </v>
      </c>
      <c r="C1000" s="2">
        <v>44330</v>
      </c>
      <c r="D1000" s="3">
        <v>240.8</v>
      </c>
    </row>
    <row r="1001" spans="1:4" ht="14.7" thickBot="1" x14ac:dyDescent="0.6">
      <c r="A1001" s="1" t="s">
        <v>8</v>
      </c>
      <c r="B1001" t="str">
        <f>VLOOKUP(A1001,'Area Breakdown'!$B$1:$C$33,2,)</f>
        <v>Heliopolis</v>
      </c>
      <c r="C1001" s="2">
        <v>44330</v>
      </c>
      <c r="D1001" s="3">
        <v>208.4</v>
      </c>
    </row>
    <row r="1002" spans="1:4" ht="14.7" thickBot="1" x14ac:dyDescent="0.6">
      <c r="A1002" s="1" t="s">
        <v>15</v>
      </c>
      <c r="B1002" t="str">
        <f>VLOOKUP(A1002,'Area Breakdown'!$B$1:$C$33,2,)</f>
        <v>Heliopolis</v>
      </c>
      <c r="C1002" s="2">
        <v>44330</v>
      </c>
      <c r="D1002" s="3">
        <v>165.60000000000002</v>
      </c>
    </row>
    <row r="1003" spans="1:4" ht="14.7" thickBot="1" x14ac:dyDescent="0.6">
      <c r="A1003" s="1" t="s">
        <v>13</v>
      </c>
      <c r="B1003" t="str">
        <f>VLOOKUP(A1003,'Area Breakdown'!$B$1:$C$33,2,)</f>
        <v>Heliopolis</v>
      </c>
      <c r="C1003" s="2">
        <v>44330</v>
      </c>
      <c r="D1003" s="3">
        <v>164.8</v>
      </c>
    </row>
    <row r="1004" spans="1:4" ht="14.7" thickBot="1" x14ac:dyDescent="0.6">
      <c r="A1004" s="1" t="s">
        <v>7</v>
      </c>
      <c r="B1004" t="str">
        <f>VLOOKUP(A1004,'Area Breakdown'!$B$1:$C$33,2,)</f>
        <v>October</v>
      </c>
      <c r="C1004" s="2">
        <v>44330</v>
      </c>
      <c r="D1004" s="3">
        <v>126.4</v>
      </c>
    </row>
    <row r="1005" spans="1:4" ht="14.7" thickBot="1" x14ac:dyDescent="0.6">
      <c r="A1005" s="1" t="s">
        <v>11</v>
      </c>
      <c r="B1005" t="str">
        <f>VLOOKUP(A1005,'Area Breakdown'!$B$1:$C$33,2,)</f>
        <v>New Cairo</v>
      </c>
      <c r="C1005" s="2">
        <v>44330</v>
      </c>
      <c r="D1005" s="3">
        <v>92</v>
      </c>
    </row>
    <row r="1006" spans="1:4" ht="14.7" thickBot="1" x14ac:dyDescent="0.6">
      <c r="A1006" s="1" t="s">
        <v>12</v>
      </c>
      <c r="B1006" t="str">
        <f>VLOOKUP(A1006,'Area Breakdown'!$B$1:$C$33,2,)</f>
        <v>New Cairo</v>
      </c>
      <c r="C1006" s="2">
        <v>44331</v>
      </c>
      <c r="D1006" s="3">
        <v>1262.4000000000001</v>
      </c>
    </row>
    <row r="1007" spans="1:4" ht="14.7" thickBot="1" x14ac:dyDescent="0.6">
      <c r="A1007" s="1" t="s">
        <v>16</v>
      </c>
      <c r="B1007" t="str">
        <f>VLOOKUP(A1007,'Area Breakdown'!$B$1:$C$33,2,)</f>
        <v>Downtown</v>
      </c>
      <c r="C1007" s="2">
        <v>44331</v>
      </c>
      <c r="D1007" s="3">
        <v>1201.2</v>
      </c>
    </row>
    <row r="1008" spans="1:4" ht="14.7" thickBot="1" x14ac:dyDescent="0.6">
      <c r="A1008" s="1" t="s">
        <v>22</v>
      </c>
      <c r="B1008" t="str">
        <f>VLOOKUP(A1008,'Area Breakdown'!$B$1:$C$33,2,)</f>
        <v>Heliopolis</v>
      </c>
      <c r="C1008" s="2">
        <v>44331</v>
      </c>
      <c r="D1008" s="3">
        <v>1196.4000000000001</v>
      </c>
    </row>
    <row r="1009" spans="1:4" ht="14.7" thickBot="1" x14ac:dyDescent="0.6">
      <c r="A1009" s="1" t="s">
        <v>25</v>
      </c>
      <c r="B1009" t="str">
        <f>VLOOKUP(A1009,'Area Breakdown'!$B$1:$C$33,2,)</f>
        <v>October</v>
      </c>
      <c r="C1009" s="2">
        <v>44331</v>
      </c>
      <c r="D1009" s="3">
        <v>1190.8</v>
      </c>
    </row>
    <row r="1010" spans="1:4" ht="14.7" thickBot="1" x14ac:dyDescent="0.6">
      <c r="A1010" s="1" t="s">
        <v>0</v>
      </c>
      <c r="B1010" t="str">
        <f>VLOOKUP(A1010,'Area Breakdown'!$B$1:$C$33,2,)</f>
        <v>Downtown</v>
      </c>
      <c r="C1010" s="2">
        <v>44331</v>
      </c>
      <c r="D1010" s="3">
        <v>938</v>
      </c>
    </row>
    <row r="1011" spans="1:4" ht="14.7" thickBot="1" x14ac:dyDescent="0.6">
      <c r="A1011" s="1" t="s">
        <v>24</v>
      </c>
      <c r="B1011" t="str">
        <f>VLOOKUP(A1011,'Area Breakdown'!$B$1:$C$33,2,)</f>
        <v>October</v>
      </c>
      <c r="C1011" s="2">
        <v>44331</v>
      </c>
      <c r="D1011" s="3">
        <v>753.2</v>
      </c>
    </row>
    <row r="1012" spans="1:4" ht="14.7" thickBot="1" x14ac:dyDescent="0.6">
      <c r="A1012" s="1" t="s">
        <v>17</v>
      </c>
      <c r="B1012" t="str">
        <f>VLOOKUP(A1012,'Area Breakdown'!$B$1:$C$33,2,)</f>
        <v>Heliopolis</v>
      </c>
      <c r="C1012" s="2">
        <v>44331</v>
      </c>
      <c r="D1012" s="3">
        <v>701.6</v>
      </c>
    </row>
    <row r="1013" spans="1:4" ht="14.7" thickBot="1" x14ac:dyDescent="0.6">
      <c r="A1013" s="1" t="s">
        <v>3</v>
      </c>
      <c r="B1013" t="str">
        <f>VLOOKUP(A1013,'Area Breakdown'!$B$1:$C$33,2,)</f>
        <v>Downtown</v>
      </c>
      <c r="C1013" s="2">
        <v>44331</v>
      </c>
      <c r="D1013" s="3">
        <v>691.2</v>
      </c>
    </row>
    <row r="1014" spans="1:4" ht="14.7" thickBot="1" x14ac:dyDescent="0.6">
      <c r="A1014" s="1" t="s">
        <v>2</v>
      </c>
      <c r="B1014" t="str">
        <f>VLOOKUP(A1014,'Area Breakdown'!$B$1:$C$33,2,)</f>
        <v>Downtown</v>
      </c>
      <c r="C1014" s="2">
        <v>44331</v>
      </c>
      <c r="D1014" s="3">
        <v>586.4</v>
      </c>
    </row>
    <row r="1015" spans="1:4" ht="14.7" thickBot="1" x14ac:dyDescent="0.6">
      <c r="A1015" s="1" t="s">
        <v>10</v>
      </c>
      <c r="B1015" t="str">
        <f>VLOOKUP(A1015,'Area Breakdown'!$B$1:$C$33,2,)</f>
        <v xml:space="preserve">Alexandria </v>
      </c>
      <c r="C1015" s="2">
        <v>44331</v>
      </c>
      <c r="D1015" s="3">
        <v>566</v>
      </c>
    </row>
    <row r="1016" spans="1:4" ht="14.7" thickBot="1" x14ac:dyDescent="0.6">
      <c r="A1016" s="1" t="s">
        <v>20</v>
      </c>
      <c r="B1016" t="str">
        <f>VLOOKUP(A1016,'Area Breakdown'!$B$1:$C$33,2,)</f>
        <v>Downtown</v>
      </c>
      <c r="C1016" s="2">
        <v>44331</v>
      </c>
      <c r="D1016" s="3">
        <v>541.20000000000005</v>
      </c>
    </row>
    <row r="1017" spans="1:4" ht="14.7" thickBot="1" x14ac:dyDescent="0.6">
      <c r="A1017" s="1" t="s">
        <v>27</v>
      </c>
      <c r="B1017" t="str">
        <f>VLOOKUP(A1017,'Area Breakdown'!$B$1:$C$33,2,)</f>
        <v xml:space="preserve">Alexandria </v>
      </c>
      <c r="C1017" s="2">
        <v>44331</v>
      </c>
      <c r="D1017" s="3">
        <v>450.8</v>
      </c>
    </row>
    <row r="1018" spans="1:4" ht="14.7" thickBot="1" x14ac:dyDescent="0.6">
      <c r="A1018" s="1" t="s">
        <v>21</v>
      </c>
      <c r="B1018" t="str">
        <f>VLOOKUP(A1018,'Area Breakdown'!$B$1:$C$33,2,)</f>
        <v>Heliopolis</v>
      </c>
      <c r="C1018" s="2">
        <v>44331</v>
      </c>
      <c r="D1018" s="3">
        <v>448</v>
      </c>
    </row>
    <row r="1019" spans="1:4" ht="14.7" thickBot="1" x14ac:dyDescent="0.6">
      <c r="A1019" s="1" t="s">
        <v>9</v>
      </c>
      <c r="B1019" t="str">
        <f>VLOOKUP(A1019,'Area Breakdown'!$B$1:$C$33,2,)</f>
        <v xml:space="preserve">Alexandria </v>
      </c>
      <c r="C1019" s="2">
        <v>44331</v>
      </c>
      <c r="D1019" s="3">
        <v>447.20000000000005</v>
      </c>
    </row>
    <row r="1020" spans="1:4" ht="14.7" thickBot="1" x14ac:dyDescent="0.6">
      <c r="A1020" s="1" t="s">
        <v>1</v>
      </c>
      <c r="B1020" t="str">
        <f>VLOOKUP(A1020,'Area Breakdown'!$B$1:$C$33,2,)</f>
        <v>Downtown</v>
      </c>
      <c r="C1020" s="2">
        <v>44331</v>
      </c>
      <c r="D1020" s="3">
        <v>395.6</v>
      </c>
    </row>
    <row r="1021" spans="1:4" ht="14.7" thickBot="1" x14ac:dyDescent="0.6">
      <c r="A1021" s="1" t="s">
        <v>19</v>
      </c>
      <c r="B1021" t="str">
        <f>VLOOKUP(A1021,'Area Breakdown'!$B$1:$C$33,2,)</f>
        <v>Downtown</v>
      </c>
      <c r="C1021" s="2">
        <v>44331</v>
      </c>
      <c r="D1021" s="3">
        <v>388</v>
      </c>
    </row>
    <row r="1022" spans="1:4" ht="14.7" thickBot="1" x14ac:dyDescent="0.6">
      <c r="A1022" s="1" t="s">
        <v>6</v>
      </c>
      <c r="B1022" t="str">
        <f>VLOOKUP(A1022,'Area Breakdown'!$B$1:$C$33,2,)</f>
        <v xml:space="preserve">Alexandria </v>
      </c>
      <c r="C1022" s="2">
        <v>44331</v>
      </c>
      <c r="D1022" s="3">
        <v>350.8</v>
      </c>
    </row>
    <row r="1023" spans="1:4" ht="14.7" thickBot="1" x14ac:dyDescent="0.6">
      <c r="A1023" s="1" t="s">
        <v>23</v>
      </c>
      <c r="B1023" t="str">
        <f>VLOOKUP(A1023,'Area Breakdown'!$B$1:$C$33,2,)</f>
        <v>Heliopolis</v>
      </c>
      <c r="C1023" s="2">
        <v>44331</v>
      </c>
      <c r="D1023" s="3">
        <v>317.20000000000005</v>
      </c>
    </row>
    <row r="1024" spans="1:4" ht="14.7" thickBot="1" x14ac:dyDescent="0.6">
      <c r="A1024" s="1" t="s">
        <v>8</v>
      </c>
      <c r="B1024" t="str">
        <f>VLOOKUP(A1024,'Area Breakdown'!$B$1:$C$33,2,)</f>
        <v>Heliopolis</v>
      </c>
      <c r="C1024" s="2">
        <v>44331</v>
      </c>
      <c r="D1024" s="3">
        <v>256.40000000000003</v>
      </c>
    </row>
    <row r="1025" spans="1:4" ht="14.7" thickBot="1" x14ac:dyDescent="0.6">
      <c r="A1025" s="1" t="s">
        <v>13</v>
      </c>
      <c r="B1025" t="str">
        <f>VLOOKUP(A1025,'Area Breakdown'!$B$1:$C$33,2,)</f>
        <v>Heliopolis</v>
      </c>
      <c r="C1025" s="2">
        <v>44331</v>
      </c>
      <c r="D1025" s="3">
        <v>178.8</v>
      </c>
    </row>
    <row r="1026" spans="1:4" ht="14.7" thickBot="1" x14ac:dyDescent="0.6">
      <c r="A1026" s="1" t="s">
        <v>4</v>
      </c>
      <c r="B1026" t="str">
        <f>VLOOKUP(A1026,'Area Breakdown'!$B$1:$C$33,2,)</f>
        <v>Downtown</v>
      </c>
      <c r="C1026" s="2">
        <v>44331</v>
      </c>
      <c r="D1026" s="3">
        <v>130.4</v>
      </c>
    </row>
    <row r="1027" spans="1:4" ht="14.7" thickBot="1" x14ac:dyDescent="0.6">
      <c r="A1027" s="1" t="s">
        <v>15</v>
      </c>
      <c r="B1027" t="str">
        <f>VLOOKUP(A1027,'Area Breakdown'!$B$1:$C$33,2,)</f>
        <v>Heliopolis</v>
      </c>
      <c r="C1027" s="2">
        <v>44331</v>
      </c>
      <c r="D1027" s="3">
        <v>82.4</v>
      </c>
    </row>
    <row r="1028" spans="1:4" ht="14.7" thickBot="1" x14ac:dyDescent="0.6">
      <c r="A1028" s="1" t="s">
        <v>11</v>
      </c>
      <c r="B1028" t="str">
        <f>VLOOKUP(A1028,'Area Breakdown'!$B$1:$C$33,2,)</f>
        <v>New Cairo</v>
      </c>
      <c r="C1028" s="2">
        <v>44331</v>
      </c>
      <c r="D1028" s="3">
        <v>37.200000000000003</v>
      </c>
    </row>
    <row r="1029" spans="1:4" ht="14.7" thickBot="1" x14ac:dyDescent="0.6">
      <c r="A1029" s="1" t="s">
        <v>7</v>
      </c>
      <c r="B1029" t="str">
        <f>VLOOKUP(A1029,'Area Breakdown'!$B$1:$C$33,2,)</f>
        <v>October</v>
      </c>
      <c r="C1029" s="2">
        <v>44331</v>
      </c>
      <c r="D1029" s="3">
        <v>37.200000000000003</v>
      </c>
    </row>
    <row r="1030" spans="1:4" ht="14.7" thickBot="1" x14ac:dyDescent="0.6">
      <c r="A1030" s="1" t="s">
        <v>22</v>
      </c>
      <c r="B1030" t="str">
        <f>VLOOKUP(A1030,'Area Breakdown'!$B$1:$C$33,2,)</f>
        <v>Heliopolis</v>
      </c>
      <c r="C1030" s="2">
        <v>44332</v>
      </c>
      <c r="D1030" s="3">
        <v>1350</v>
      </c>
    </row>
    <row r="1031" spans="1:4" ht="14.7" thickBot="1" x14ac:dyDescent="0.6">
      <c r="A1031" s="1" t="s">
        <v>12</v>
      </c>
      <c r="B1031" t="str">
        <f>VLOOKUP(A1031,'Area Breakdown'!$B$1:$C$33,2,)</f>
        <v>New Cairo</v>
      </c>
      <c r="C1031" s="2">
        <v>44332</v>
      </c>
      <c r="D1031" s="3">
        <v>935.6</v>
      </c>
    </row>
    <row r="1032" spans="1:4" ht="14.7" thickBot="1" x14ac:dyDescent="0.6">
      <c r="A1032" s="1" t="s">
        <v>16</v>
      </c>
      <c r="B1032" t="str">
        <f>VLOOKUP(A1032,'Area Breakdown'!$B$1:$C$33,2,)</f>
        <v>Downtown</v>
      </c>
      <c r="C1032" s="2">
        <v>44332</v>
      </c>
      <c r="D1032" s="3">
        <v>926</v>
      </c>
    </row>
    <row r="1033" spans="1:4" ht="14.7" thickBot="1" x14ac:dyDescent="0.6">
      <c r="A1033" s="1" t="s">
        <v>20</v>
      </c>
      <c r="B1033" t="str">
        <f>VLOOKUP(A1033,'Area Breakdown'!$B$1:$C$33,2,)</f>
        <v>Downtown</v>
      </c>
      <c r="C1033" s="2">
        <v>44332</v>
      </c>
      <c r="D1033" s="3">
        <v>924</v>
      </c>
    </row>
    <row r="1034" spans="1:4" ht="14.7" thickBot="1" x14ac:dyDescent="0.6">
      <c r="A1034" s="1" t="s">
        <v>0</v>
      </c>
      <c r="B1034" t="str">
        <f>VLOOKUP(A1034,'Area Breakdown'!$B$1:$C$33,2,)</f>
        <v>Downtown</v>
      </c>
      <c r="C1034" s="2">
        <v>44332</v>
      </c>
      <c r="D1034" s="3">
        <v>767.6</v>
      </c>
    </row>
    <row r="1035" spans="1:4" ht="14.7" thickBot="1" x14ac:dyDescent="0.6">
      <c r="A1035" s="1" t="s">
        <v>19</v>
      </c>
      <c r="B1035" t="str">
        <f>VLOOKUP(A1035,'Area Breakdown'!$B$1:$C$33,2,)</f>
        <v>Downtown</v>
      </c>
      <c r="C1035" s="2">
        <v>44332</v>
      </c>
      <c r="D1035" s="3">
        <v>761.2</v>
      </c>
    </row>
    <row r="1036" spans="1:4" ht="14.7" thickBot="1" x14ac:dyDescent="0.6">
      <c r="A1036" s="1" t="s">
        <v>24</v>
      </c>
      <c r="B1036" t="str">
        <f>VLOOKUP(A1036,'Area Breakdown'!$B$1:$C$33,2,)</f>
        <v>October</v>
      </c>
      <c r="C1036" s="2">
        <v>44332</v>
      </c>
      <c r="D1036" s="3">
        <v>710.80000000000007</v>
      </c>
    </row>
    <row r="1037" spans="1:4" ht="14.7" thickBot="1" x14ac:dyDescent="0.6">
      <c r="A1037" s="1" t="s">
        <v>25</v>
      </c>
      <c r="B1037" t="str">
        <f>VLOOKUP(A1037,'Area Breakdown'!$B$1:$C$33,2,)</f>
        <v>October</v>
      </c>
      <c r="C1037" s="2">
        <v>44332</v>
      </c>
      <c r="D1037" s="3">
        <v>702</v>
      </c>
    </row>
    <row r="1038" spans="1:4" ht="14.7" thickBot="1" x14ac:dyDescent="0.6">
      <c r="A1038" s="1" t="s">
        <v>2</v>
      </c>
      <c r="B1038" t="str">
        <f>VLOOKUP(A1038,'Area Breakdown'!$B$1:$C$33,2,)</f>
        <v>Downtown</v>
      </c>
      <c r="C1038" s="2">
        <v>44332</v>
      </c>
      <c r="D1038" s="3">
        <v>668.40000000000009</v>
      </c>
    </row>
    <row r="1039" spans="1:4" ht="14.7" thickBot="1" x14ac:dyDescent="0.6">
      <c r="A1039" s="1" t="s">
        <v>27</v>
      </c>
      <c r="B1039" t="str">
        <f>VLOOKUP(A1039,'Area Breakdown'!$B$1:$C$33,2,)</f>
        <v xml:space="preserve">Alexandria </v>
      </c>
      <c r="C1039" s="2">
        <v>44332</v>
      </c>
      <c r="D1039" s="3">
        <v>649.20000000000005</v>
      </c>
    </row>
    <row r="1040" spans="1:4" ht="14.7" thickBot="1" x14ac:dyDescent="0.6">
      <c r="A1040" s="1" t="s">
        <v>17</v>
      </c>
      <c r="B1040" t="str">
        <f>VLOOKUP(A1040,'Area Breakdown'!$B$1:$C$33,2,)</f>
        <v>Heliopolis</v>
      </c>
      <c r="C1040" s="2">
        <v>44332</v>
      </c>
      <c r="D1040" s="3">
        <v>586</v>
      </c>
    </row>
    <row r="1041" spans="1:4" ht="14.7" thickBot="1" x14ac:dyDescent="0.6">
      <c r="A1041" s="1" t="s">
        <v>10</v>
      </c>
      <c r="B1041" t="str">
        <f>VLOOKUP(A1041,'Area Breakdown'!$B$1:$C$33,2,)</f>
        <v xml:space="preserve">Alexandria </v>
      </c>
      <c r="C1041" s="2">
        <v>44332</v>
      </c>
      <c r="D1041" s="3">
        <v>466.40000000000003</v>
      </c>
    </row>
    <row r="1042" spans="1:4" ht="14.7" thickBot="1" x14ac:dyDescent="0.6">
      <c r="A1042" s="1" t="s">
        <v>9</v>
      </c>
      <c r="B1042" t="str">
        <f>VLOOKUP(A1042,'Area Breakdown'!$B$1:$C$33,2,)</f>
        <v xml:space="preserve">Alexandria </v>
      </c>
      <c r="C1042" s="2">
        <v>44332</v>
      </c>
      <c r="D1042" s="3">
        <v>414</v>
      </c>
    </row>
    <row r="1043" spans="1:4" ht="14.7" thickBot="1" x14ac:dyDescent="0.6">
      <c r="A1043" s="1" t="s">
        <v>21</v>
      </c>
      <c r="B1043" t="str">
        <f>VLOOKUP(A1043,'Area Breakdown'!$B$1:$C$33,2,)</f>
        <v>Heliopolis</v>
      </c>
      <c r="C1043" s="2">
        <v>44332</v>
      </c>
      <c r="D1043" s="3">
        <v>410.40000000000003</v>
      </c>
    </row>
    <row r="1044" spans="1:4" ht="14.7" thickBot="1" x14ac:dyDescent="0.6">
      <c r="A1044" s="1" t="s">
        <v>23</v>
      </c>
      <c r="B1044" t="str">
        <f>VLOOKUP(A1044,'Area Breakdown'!$B$1:$C$33,2,)</f>
        <v>Heliopolis</v>
      </c>
      <c r="C1044" s="2">
        <v>44332</v>
      </c>
      <c r="D1044" s="3">
        <v>330</v>
      </c>
    </row>
    <row r="1045" spans="1:4" ht="14.7" thickBot="1" x14ac:dyDescent="0.6">
      <c r="A1045" s="1" t="s">
        <v>1</v>
      </c>
      <c r="B1045" t="str">
        <f>VLOOKUP(A1045,'Area Breakdown'!$B$1:$C$33,2,)</f>
        <v>Downtown</v>
      </c>
      <c r="C1045" s="2">
        <v>44332</v>
      </c>
      <c r="D1045" s="3">
        <v>329.20000000000005</v>
      </c>
    </row>
    <row r="1046" spans="1:4" ht="14.7" thickBot="1" x14ac:dyDescent="0.6">
      <c r="A1046" s="1" t="s">
        <v>6</v>
      </c>
      <c r="B1046" t="str">
        <f>VLOOKUP(A1046,'Area Breakdown'!$B$1:$C$33,2,)</f>
        <v xml:space="preserve">Alexandria </v>
      </c>
      <c r="C1046" s="2">
        <v>44332</v>
      </c>
      <c r="D1046" s="3">
        <v>267.2</v>
      </c>
    </row>
    <row r="1047" spans="1:4" ht="14.7" thickBot="1" x14ac:dyDescent="0.6">
      <c r="A1047" s="1" t="s">
        <v>13</v>
      </c>
      <c r="B1047" t="str">
        <f>VLOOKUP(A1047,'Area Breakdown'!$B$1:$C$33,2,)</f>
        <v>Heliopolis</v>
      </c>
      <c r="C1047" s="2">
        <v>44332</v>
      </c>
      <c r="D1047" s="3">
        <v>258</v>
      </c>
    </row>
    <row r="1048" spans="1:4" ht="14.7" thickBot="1" x14ac:dyDescent="0.6">
      <c r="A1048" s="1" t="s">
        <v>4</v>
      </c>
      <c r="B1048" t="str">
        <f>VLOOKUP(A1048,'Area Breakdown'!$B$1:$C$33,2,)</f>
        <v>Downtown</v>
      </c>
      <c r="C1048" s="2">
        <v>44332</v>
      </c>
      <c r="D1048" s="3">
        <v>238.8</v>
      </c>
    </row>
    <row r="1049" spans="1:4" ht="14.7" thickBot="1" x14ac:dyDescent="0.6">
      <c r="A1049" s="1" t="s">
        <v>3</v>
      </c>
      <c r="B1049" t="str">
        <f>VLOOKUP(A1049,'Area Breakdown'!$B$1:$C$33,2,)</f>
        <v>Downtown</v>
      </c>
      <c r="C1049" s="2">
        <v>44332</v>
      </c>
      <c r="D1049" s="3">
        <v>214</v>
      </c>
    </row>
    <row r="1050" spans="1:4" ht="14.7" thickBot="1" x14ac:dyDescent="0.6">
      <c r="A1050" s="1" t="s">
        <v>8</v>
      </c>
      <c r="B1050" t="str">
        <f>VLOOKUP(A1050,'Area Breakdown'!$B$1:$C$33,2,)</f>
        <v>Heliopolis</v>
      </c>
      <c r="C1050" s="2">
        <v>44332</v>
      </c>
      <c r="D1050" s="3">
        <v>157.20000000000002</v>
      </c>
    </row>
    <row r="1051" spans="1:4" ht="14.7" thickBot="1" x14ac:dyDescent="0.6">
      <c r="A1051" s="1" t="s">
        <v>7</v>
      </c>
      <c r="B1051" t="str">
        <f>VLOOKUP(A1051,'Area Breakdown'!$B$1:$C$33,2,)</f>
        <v>October</v>
      </c>
      <c r="C1051" s="2">
        <v>44332</v>
      </c>
      <c r="D1051" s="3">
        <v>61.2</v>
      </c>
    </row>
    <row r="1052" spans="1:4" ht="14.7" thickBot="1" x14ac:dyDescent="0.6">
      <c r="A1052" s="1" t="s">
        <v>11</v>
      </c>
      <c r="B1052" t="str">
        <f>VLOOKUP(A1052,'Area Breakdown'!$B$1:$C$33,2,)</f>
        <v>New Cairo</v>
      </c>
      <c r="C1052" s="2">
        <v>44332</v>
      </c>
      <c r="D1052" s="3">
        <v>39.200000000000003</v>
      </c>
    </row>
    <row r="1053" spans="1:4" ht="14.7" thickBot="1" x14ac:dyDescent="0.6">
      <c r="A1053" s="1" t="s">
        <v>0</v>
      </c>
      <c r="B1053" t="str">
        <f>VLOOKUP(A1053,'Area Breakdown'!$B$1:$C$33,2,)</f>
        <v>Downtown</v>
      </c>
      <c r="C1053" s="2">
        <v>44333</v>
      </c>
      <c r="D1053" s="3">
        <v>1476.8000000000002</v>
      </c>
    </row>
    <row r="1054" spans="1:4" ht="14.7" thickBot="1" x14ac:dyDescent="0.6">
      <c r="A1054" s="1" t="s">
        <v>20</v>
      </c>
      <c r="B1054" t="str">
        <f>VLOOKUP(A1054,'Area Breakdown'!$B$1:$C$33,2,)</f>
        <v>Downtown</v>
      </c>
      <c r="C1054" s="2">
        <v>44333</v>
      </c>
      <c r="D1054" s="3">
        <v>971.2</v>
      </c>
    </row>
    <row r="1055" spans="1:4" ht="14.7" thickBot="1" x14ac:dyDescent="0.6">
      <c r="A1055" s="1" t="s">
        <v>21</v>
      </c>
      <c r="B1055" t="str">
        <f>VLOOKUP(A1055,'Area Breakdown'!$B$1:$C$33,2,)</f>
        <v>Heliopolis</v>
      </c>
      <c r="C1055" s="2">
        <v>44333</v>
      </c>
      <c r="D1055" s="3">
        <v>776</v>
      </c>
    </row>
    <row r="1056" spans="1:4" ht="14.7" thickBot="1" x14ac:dyDescent="0.6">
      <c r="A1056" s="1" t="s">
        <v>22</v>
      </c>
      <c r="B1056" t="str">
        <f>VLOOKUP(A1056,'Area Breakdown'!$B$1:$C$33,2,)</f>
        <v>Heliopolis</v>
      </c>
      <c r="C1056" s="2">
        <v>44333</v>
      </c>
      <c r="D1056" s="3">
        <v>746</v>
      </c>
    </row>
    <row r="1057" spans="1:4" ht="14.7" thickBot="1" x14ac:dyDescent="0.6">
      <c r="A1057" s="1" t="s">
        <v>24</v>
      </c>
      <c r="B1057" t="str">
        <f>VLOOKUP(A1057,'Area Breakdown'!$B$1:$C$33,2,)</f>
        <v>October</v>
      </c>
      <c r="C1057" s="2">
        <v>44333</v>
      </c>
      <c r="D1057" s="3">
        <v>742.80000000000007</v>
      </c>
    </row>
    <row r="1058" spans="1:4" ht="14.7" thickBot="1" x14ac:dyDescent="0.6">
      <c r="A1058" s="1" t="s">
        <v>2</v>
      </c>
      <c r="B1058" t="str">
        <f>VLOOKUP(A1058,'Area Breakdown'!$B$1:$C$33,2,)</f>
        <v>Downtown</v>
      </c>
      <c r="C1058" s="2">
        <v>44333</v>
      </c>
      <c r="D1058" s="3">
        <v>677.2</v>
      </c>
    </row>
    <row r="1059" spans="1:4" ht="14.7" thickBot="1" x14ac:dyDescent="0.6">
      <c r="A1059" s="1" t="s">
        <v>19</v>
      </c>
      <c r="B1059" t="str">
        <f>VLOOKUP(A1059,'Area Breakdown'!$B$1:$C$33,2,)</f>
        <v>Downtown</v>
      </c>
      <c r="C1059" s="2">
        <v>44333</v>
      </c>
      <c r="D1059" s="3">
        <v>675.2</v>
      </c>
    </row>
    <row r="1060" spans="1:4" ht="14.7" thickBot="1" x14ac:dyDescent="0.6">
      <c r="A1060" s="1" t="s">
        <v>9</v>
      </c>
      <c r="B1060" t="str">
        <f>VLOOKUP(A1060,'Area Breakdown'!$B$1:$C$33,2,)</f>
        <v xml:space="preserve">Alexandria </v>
      </c>
      <c r="C1060" s="2">
        <v>44333</v>
      </c>
      <c r="D1060" s="3">
        <v>586.80000000000007</v>
      </c>
    </row>
    <row r="1061" spans="1:4" ht="14.7" thickBot="1" x14ac:dyDescent="0.6">
      <c r="A1061" s="1" t="s">
        <v>16</v>
      </c>
      <c r="B1061" t="str">
        <f>VLOOKUP(A1061,'Area Breakdown'!$B$1:$C$33,2,)</f>
        <v>Downtown</v>
      </c>
      <c r="C1061" s="2">
        <v>44333</v>
      </c>
      <c r="D1061" s="3">
        <v>578.80000000000007</v>
      </c>
    </row>
    <row r="1062" spans="1:4" ht="14.7" thickBot="1" x14ac:dyDescent="0.6">
      <c r="A1062" s="1" t="s">
        <v>3</v>
      </c>
      <c r="B1062" t="str">
        <f>VLOOKUP(A1062,'Area Breakdown'!$B$1:$C$33,2,)</f>
        <v>Downtown</v>
      </c>
      <c r="C1062" s="2">
        <v>44333</v>
      </c>
      <c r="D1062" s="3">
        <v>555.20000000000005</v>
      </c>
    </row>
    <row r="1063" spans="1:4" ht="14.7" thickBot="1" x14ac:dyDescent="0.6">
      <c r="A1063" s="1" t="s">
        <v>4</v>
      </c>
      <c r="B1063" t="str">
        <f>VLOOKUP(A1063,'Area Breakdown'!$B$1:$C$33,2,)</f>
        <v>Downtown</v>
      </c>
      <c r="C1063" s="2">
        <v>44333</v>
      </c>
      <c r="D1063" s="3">
        <v>542.4</v>
      </c>
    </row>
    <row r="1064" spans="1:4" ht="14.7" thickBot="1" x14ac:dyDescent="0.6">
      <c r="A1064" s="1" t="s">
        <v>25</v>
      </c>
      <c r="B1064" t="str">
        <f>VLOOKUP(A1064,'Area Breakdown'!$B$1:$C$33,2,)</f>
        <v>October</v>
      </c>
      <c r="C1064" s="2">
        <v>44333</v>
      </c>
      <c r="D1064" s="3">
        <v>513.20000000000005</v>
      </c>
    </row>
    <row r="1065" spans="1:4" ht="14.7" thickBot="1" x14ac:dyDescent="0.6">
      <c r="A1065" s="1" t="s">
        <v>1</v>
      </c>
      <c r="B1065" t="str">
        <f>VLOOKUP(A1065,'Area Breakdown'!$B$1:$C$33,2,)</f>
        <v>Downtown</v>
      </c>
      <c r="C1065" s="2">
        <v>44333</v>
      </c>
      <c r="D1065" s="3">
        <v>497.6</v>
      </c>
    </row>
    <row r="1066" spans="1:4" ht="14.7" thickBot="1" x14ac:dyDescent="0.6">
      <c r="A1066" s="1" t="s">
        <v>13</v>
      </c>
      <c r="B1066" t="str">
        <f>VLOOKUP(A1066,'Area Breakdown'!$B$1:$C$33,2,)</f>
        <v>Heliopolis</v>
      </c>
      <c r="C1066" s="2">
        <v>44333</v>
      </c>
      <c r="D1066" s="3">
        <v>492</v>
      </c>
    </row>
    <row r="1067" spans="1:4" ht="14.7" thickBot="1" x14ac:dyDescent="0.6">
      <c r="A1067" s="1" t="s">
        <v>27</v>
      </c>
      <c r="B1067" t="str">
        <f>VLOOKUP(A1067,'Area Breakdown'!$B$1:$C$33,2,)</f>
        <v xml:space="preserve">Alexandria </v>
      </c>
      <c r="C1067" s="2">
        <v>44333</v>
      </c>
      <c r="D1067" s="3">
        <v>485.6</v>
      </c>
    </row>
    <row r="1068" spans="1:4" ht="14.7" thickBot="1" x14ac:dyDescent="0.6">
      <c r="A1068" s="1" t="s">
        <v>12</v>
      </c>
      <c r="B1068" t="str">
        <f>VLOOKUP(A1068,'Area Breakdown'!$B$1:$C$33,2,)</f>
        <v>New Cairo</v>
      </c>
      <c r="C1068" s="2">
        <v>44333</v>
      </c>
      <c r="D1068" s="3">
        <v>452</v>
      </c>
    </row>
    <row r="1069" spans="1:4" ht="14.7" thickBot="1" x14ac:dyDescent="0.6">
      <c r="A1069" s="1" t="s">
        <v>8</v>
      </c>
      <c r="B1069" t="str">
        <f>VLOOKUP(A1069,'Area Breakdown'!$B$1:$C$33,2,)</f>
        <v>Heliopolis</v>
      </c>
      <c r="C1069" s="2">
        <v>44333</v>
      </c>
      <c r="D1069" s="3">
        <v>431.6</v>
      </c>
    </row>
    <row r="1070" spans="1:4" ht="14.7" thickBot="1" x14ac:dyDescent="0.6">
      <c r="A1070" s="1" t="s">
        <v>10</v>
      </c>
      <c r="B1070" t="str">
        <f>VLOOKUP(A1070,'Area Breakdown'!$B$1:$C$33,2,)</f>
        <v xml:space="preserve">Alexandria </v>
      </c>
      <c r="C1070" s="2">
        <v>44333</v>
      </c>
      <c r="D1070" s="3">
        <v>398.8</v>
      </c>
    </row>
    <row r="1071" spans="1:4" ht="14.7" thickBot="1" x14ac:dyDescent="0.6">
      <c r="A1071" s="1" t="s">
        <v>23</v>
      </c>
      <c r="B1071" t="str">
        <f>VLOOKUP(A1071,'Area Breakdown'!$B$1:$C$33,2,)</f>
        <v>Heliopolis</v>
      </c>
      <c r="C1071" s="2">
        <v>44333</v>
      </c>
      <c r="D1071" s="3">
        <v>394.8</v>
      </c>
    </row>
    <row r="1072" spans="1:4" ht="14.7" thickBot="1" x14ac:dyDescent="0.6">
      <c r="A1072" s="1" t="s">
        <v>6</v>
      </c>
      <c r="B1072" t="str">
        <f>VLOOKUP(A1072,'Area Breakdown'!$B$1:$C$33,2,)</f>
        <v xml:space="preserve">Alexandria </v>
      </c>
      <c r="C1072" s="2">
        <v>44333</v>
      </c>
      <c r="D1072" s="3">
        <v>353.6</v>
      </c>
    </row>
    <row r="1073" spans="1:4" ht="14.7" thickBot="1" x14ac:dyDescent="0.6">
      <c r="A1073" s="1" t="s">
        <v>17</v>
      </c>
      <c r="B1073" t="str">
        <f>VLOOKUP(A1073,'Area Breakdown'!$B$1:$C$33,2,)</f>
        <v>Heliopolis</v>
      </c>
      <c r="C1073" s="2">
        <v>44333</v>
      </c>
      <c r="D1073" s="3">
        <v>312</v>
      </c>
    </row>
    <row r="1074" spans="1:4" ht="14.7" thickBot="1" x14ac:dyDescent="0.6">
      <c r="A1074" s="1" t="s">
        <v>15</v>
      </c>
      <c r="B1074" t="str">
        <f>VLOOKUP(A1074,'Area Breakdown'!$B$1:$C$33,2,)</f>
        <v>Heliopolis</v>
      </c>
      <c r="C1074" s="2">
        <v>44333</v>
      </c>
      <c r="D1074" s="3">
        <v>250.8</v>
      </c>
    </row>
    <row r="1075" spans="1:4" ht="14.7" thickBot="1" x14ac:dyDescent="0.6">
      <c r="A1075" s="1" t="s">
        <v>7</v>
      </c>
      <c r="B1075" t="str">
        <f>VLOOKUP(A1075,'Area Breakdown'!$B$1:$C$33,2,)</f>
        <v>October</v>
      </c>
      <c r="C1075" s="2">
        <v>44333</v>
      </c>
      <c r="D1075" s="3">
        <v>162</v>
      </c>
    </row>
    <row r="1076" spans="1:4" ht="14.7" thickBot="1" x14ac:dyDescent="0.6">
      <c r="A1076" s="1" t="s">
        <v>11</v>
      </c>
      <c r="B1076" t="str">
        <f>VLOOKUP(A1076,'Area Breakdown'!$B$1:$C$33,2,)</f>
        <v>New Cairo</v>
      </c>
      <c r="C1076" s="2">
        <v>44333</v>
      </c>
      <c r="D1076" s="3">
        <v>140</v>
      </c>
    </row>
    <row r="1077" spans="1:4" ht="14.7" thickBot="1" x14ac:dyDescent="0.6">
      <c r="A1077" s="1" t="s">
        <v>0</v>
      </c>
      <c r="B1077" t="str">
        <f>VLOOKUP(A1077,'Area Breakdown'!$B$1:$C$33,2,)</f>
        <v>Downtown</v>
      </c>
      <c r="C1077" s="2">
        <v>44334</v>
      </c>
      <c r="D1077" s="3">
        <v>1622</v>
      </c>
    </row>
    <row r="1078" spans="1:4" ht="14.7" thickBot="1" x14ac:dyDescent="0.6">
      <c r="A1078" s="1" t="s">
        <v>24</v>
      </c>
      <c r="B1078" t="str">
        <f>VLOOKUP(A1078,'Area Breakdown'!$B$1:$C$33,2,)</f>
        <v>October</v>
      </c>
      <c r="C1078" s="2">
        <v>44334</v>
      </c>
      <c r="D1078" s="3">
        <v>1052</v>
      </c>
    </row>
    <row r="1079" spans="1:4" ht="14.7" thickBot="1" x14ac:dyDescent="0.6">
      <c r="A1079" s="1" t="s">
        <v>16</v>
      </c>
      <c r="B1079" t="str">
        <f>VLOOKUP(A1079,'Area Breakdown'!$B$1:$C$33,2,)</f>
        <v>Downtown</v>
      </c>
      <c r="C1079" s="2">
        <v>44334</v>
      </c>
      <c r="D1079" s="3">
        <v>898.80000000000007</v>
      </c>
    </row>
    <row r="1080" spans="1:4" ht="14.7" thickBot="1" x14ac:dyDescent="0.6">
      <c r="A1080" s="1" t="s">
        <v>13</v>
      </c>
      <c r="B1080" t="str">
        <f>VLOOKUP(A1080,'Area Breakdown'!$B$1:$C$33,2,)</f>
        <v>Heliopolis</v>
      </c>
      <c r="C1080" s="2">
        <v>44334</v>
      </c>
      <c r="D1080" s="3">
        <v>845.6</v>
      </c>
    </row>
    <row r="1081" spans="1:4" ht="14.7" thickBot="1" x14ac:dyDescent="0.6">
      <c r="A1081" s="1" t="s">
        <v>22</v>
      </c>
      <c r="B1081" t="str">
        <f>VLOOKUP(A1081,'Area Breakdown'!$B$1:$C$33,2,)</f>
        <v>Heliopolis</v>
      </c>
      <c r="C1081" s="2">
        <v>44334</v>
      </c>
      <c r="D1081" s="3">
        <v>817.2</v>
      </c>
    </row>
    <row r="1082" spans="1:4" ht="14.7" thickBot="1" x14ac:dyDescent="0.6">
      <c r="A1082" s="1" t="s">
        <v>9</v>
      </c>
      <c r="B1082" t="str">
        <f>VLOOKUP(A1082,'Area Breakdown'!$B$1:$C$33,2,)</f>
        <v xml:space="preserve">Alexandria </v>
      </c>
      <c r="C1082" s="2">
        <v>44334</v>
      </c>
      <c r="D1082" s="3">
        <v>809.6</v>
      </c>
    </row>
    <row r="1083" spans="1:4" ht="14.7" thickBot="1" x14ac:dyDescent="0.6">
      <c r="A1083" s="1" t="s">
        <v>20</v>
      </c>
      <c r="B1083" t="str">
        <f>VLOOKUP(A1083,'Area Breakdown'!$B$1:$C$33,2,)</f>
        <v>Downtown</v>
      </c>
      <c r="C1083" s="2">
        <v>44334</v>
      </c>
      <c r="D1083" s="3">
        <v>776</v>
      </c>
    </row>
    <row r="1084" spans="1:4" ht="14.7" thickBot="1" x14ac:dyDescent="0.6">
      <c r="A1084" s="1" t="s">
        <v>1</v>
      </c>
      <c r="B1084" t="str">
        <f>VLOOKUP(A1084,'Area Breakdown'!$B$1:$C$33,2,)</f>
        <v>Downtown</v>
      </c>
      <c r="C1084" s="2">
        <v>44334</v>
      </c>
      <c r="D1084" s="3">
        <v>699.2</v>
      </c>
    </row>
    <row r="1085" spans="1:4" ht="14.7" thickBot="1" x14ac:dyDescent="0.6">
      <c r="A1085" s="1" t="s">
        <v>3</v>
      </c>
      <c r="B1085" t="str">
        <f>VLOOKUP(A1085,'Area Breakdown'!$B$1:$C$33,2,)</f>
        <v>Downtown</v>
      </c>
      <c r="C1085" s="2">
        <v>44334</v>
      </c>
      <c r="D1085" s="3">
        <v>682</v>
      </c>
    </row>
    <row r="1086" spans="1:4" ht="14.7" thickBot="1" x14ac:dyDescent="0.6">
      <c r="A1086" s="1" t="s">
        <v>2</v>
      </c>
      <c r="B1086" t="str">
        <f>VLOOKUP(A1086,'Area Breakdown'!$B$1:$C$33,2,)</f>
        <v>Downtown</v>
      </c>
      <c r="C1086" s="2">
        <v>44334</v>
      </c>
      <c r="D1086" s="3">
        <v>677.2</v>
      </c>
    </row>
    <row r="1087" spans="1:4" ht="14.7" thickBot="1" x14ac:dyDescent="0.6">
      <c r="A1087" s="1" t="s">
        <v>27</v>
      </c>
      <c r="B1087" t="str">
        <f>VLOOKUP(A1087,'Area Breakdown'!$B$1:$C$33,2,)</f>
        <v xml:space="preserve">Alexandria </v>
      </c>
      <c r="C1087" s="2">
        <v>44334</v>
      </c>
      <c r="D1087" s="3">
        <v>672</v>
      </c>
    </row>
    <row r="1088" spans="1:4" ht="14.7" thickBot="1" x14ac:dyDescent="0.6">
      <c r="A1088" s="1" t="s">
        <v>17</v>
      </c>
      <c r="B1088" t="str">
        <f>VLOOKUP(A1088,'Area Breakdown'!$B$1:$C$33,2,)</f>
        <v>Heliopolis</v>
      </c>
      <c r="C1088" s="2">
        <v>44334</v>
      </c>
      <c r="D1088" s="3">
        <v>537.20000000000005</v>
      </c>
    </row>
    <row r="1089" spans="1:4" ht="14.7" thickBot="1" x14ac:dyDescent="0.6">
      <c r="A1089" s="1" t="s">
        <v>19</v>
      </c>
      <c r="B1089" t="str">
        <f>VLOOKUP(A1089,'Area Breakdown'!$B$1:$C$33,2,)</f>
        <v>Downtown</v>
      </c>
      <c r="C1089" s="2">
        <v>44334</v>
      </c>
      <c r="D1089" s="3">
        <v>519.20000000000005</v>
      </c>
    </row>
    <row r="1090" spans="1:4" ht="14.7" thickBot="1" x14ac:dyDescent="0.6">
      <c r="A1090" s="1" t="s">
        <v>12</v>
      </c>
      <c r="B1090" t="str">
        <f>VLOOKUP(A1090,'Area Breakdown'!$B$1:$C$33,2,)</f>
        <v>New Cairo</v>
      </c>
      <c r="C1090" s="2">
        <v>44334</v>
      </c>
      <c r="D1090" s="3">
        <v>481.6</v>
      </c>
    </row>
    <row r="1091" spans="1:4" ht="14.7" thickBot="1" x14ac:dyDescent="0.6">
      <c r="A1091" s="1" t="s">
        <v>25</v>
      </c>
      <c r="B1091" t="str">
        <f>VLOOKUP(A1091,'Area Breakdown'!$B$1:$C$33,2,)</f>
        <v>October</v>
      </c>
      <c r="C1091" s="2">
        <v>44334</v>
      </c>
      <c r="D1091" s="3">
        <v>411.20000000000005</v>
      </c>
    </row>
    <row r="1092" spans="1:4" ht="14.7" thickBot="1" x14ac:dyDescent="0.6">
      <c r="A1092" s="1" t="s">
        <v>8</v>
      </c>
      <c r="B1092" t="str">
        <f>VLOOKUP(A1092,'Area Breakdown'!$B$1:$C$33,2,)</f>
        <v>Heliopolis</v>
      </c>
      <c r="C1092" s="2">
        <v>44334</v>
      </c>
      <c r="D1092" s="3">
        <v>396</v>
      </c>
    </row>
    <row r="1093" spans="1:4" ht="14.7" thickBot="1" x14ac:dyDescent="0.6">
      <c r="A1093" s="1" t="s">
        <v>11</v>
      </c>
      <c r="B1093" t="str">
        <f>VLOOKUP(A1093,'Area Breakdown'!$B$1:$C$33,2,)</f>
        <v>New Cairo</v>
      </c>
      <c r="C1093" s="2">
        <v>44334</v>
      </c>
      <c r="D1093" s="3">
        <v>388.8</v>
      </c>
    </row>
    <row r="1094" spans="1:4" ht="14.7" thickBot="1" x14ac:dyDescent="0.6">
      <c r="A1094" s="1" t="s">
        <v>23</v>
      </c>
      <c r="B1094" t="str">
        <f>VLOOKUP(A1094,'Area Breakdown'!$B$1:$C$33,2,)</f>
        <v>Heliopolis</v>
      </c>
      <c r="C1094" s="2">
        <v>44334</v>
      </c>
      <c r="D1094" s="3">
        <v>363.20000000000005</v>
      </c>
    </row>
    <row r="1095" spans="1:4" ht="14.7" thickBot="1" x14ac:dyDescent="0.6">
      <c r="A1095" s="1" t="s">
        <v>6</v>
      </c>
      <c r="B1095" t="str">
        <f>VLOOKUP(A1095,'Area Breakdown'!$B$1:$C$33,2,)</f>
        <v xml:space="preserve">Alexandria </v>
      </c>
      <c r="C1095" s="2">
        <v>44334</v>
      </c>
      <c r="D1095" s="3">
        <v>361.6</v>
      </c>
    </row>
    <row r="1096" spans="1:4" ht="14.7" thickBot="1" x14ac:dyDescent="0.6">
      <c r="A1096" s="1" t="s">
        <v>10</v>
      </c>
      <c r="B1096" t="str">
        <f>VLOOKUP(A1096,'Area Breakdown'!$B$1:$C$33,2,)</f>
        <v xml:space="preserve">Alexandria </v>
      </c>
      <c r="C1096" s="2">
        <v>44334</v>
      </c>
      <c r="D1096" s="3">
        <v>334.8</v>
      </c>
    </row>
    <row r="1097" spans="1:4" ht="14.7" thickBot="1" x14ac:dyDescent="0.6">
      <c r="A1097" s="1" t="s">
        <v>15</v>
      </c>
      <c r="B1097" t="str">
        <f>VLOOKUP(A1097,'Area Breakdown'!$B$1:$C$33,2,)</f>
        <v>Heliopolis</v>
      </c>
      <c r="C1097" s="2">
        <v>44334</v>
      </c>
      <c r="D1097" s="3">
        <v>310</v>
      </c>
    </row>
    <row r="1098" spans="1:4" ht="14.7" thickBot="1" x14ac:dyDescent="0.6">
      <c r="A1098" s="1" t="s">
        <v>4</v>
      </c>
      <c r="B1098" t="str">
        <f>VLOOKUP(A1098,'Area Breakdown'!$B$1:$C$33,2,)</f>
        <v>Downtown</v>
      </c>
      <c r="C1098" s="2">
        <v>44334</v>
      </c>
      <c r="D1098" s="3">
        <v>245.60000000000002</v>
      </c>
    </row>
    <row r="1099" spans="1:4" ht="14.7" thickBot="1" x14ac:dyDescent="0.6">
      <c r="A1099" s="1" t="s">
        <v>7</v>
      </c>
      <c r="B1099" t="str">
        <f>VLOOKUP(A1099,'Area Breakdown'!$B$1:$C$33,2,)</f>
        <v>October</v>
      </c>
      <c r="C1099" s="2">
        <v>44334</v>
      </c>
      <c r="D1099" s="3">
        <v>168.8</v>
      </c>
    </row>
    <row r="1100" spans="1:4" ht="14.7" thickBot="1" x14ac:dyDescent="0.6">
      <c r="A1100" s="1" t="s">
        <v>21</v>
      </c>
      <c r="B1100" t="str">
        <f>VLOOKUP(A1100,'Area Breakdown'!$B$1:$C$33,2,)</f>
        <v>Heliopolis</v>
      </c>
      <c r="C1100" s="2">
        <v>44334</v>
      </c>
      <c r="D1100" s="3">
        <v>1320.4</v>
      </c>
    </row>
    <row r="1101" spans="1:4" ht="14.7" thickBot="1" x14ac:dyDescent="0.6">
      <c r="A1101" s="1" t="s">
        <v>0</v>
      </c>
      <c r="B1101" t="str">
        <f>VLOOKUP(A1101,'Area Breakdown'!$B$1:$C$33,2,)</f>
        <v>Downtown</v>
      </c>
      <c r="C1101" s="2">
        <v>44335</v>
      </c>
      <c r="D1101" s="3">
        <v>1254</v>
      </c>
    </row>
    <row r="1102" spans="1:4" ht="14.7" thickBot="1" x14ac:dyDescent="0.6">
      <c r="A1102" s="1" t="s">
        <v>20</v>
      </c>
      <c r="B1102" t="str">
        <f>VLOOKUP(A1102,'Area Breakdown'!$B$1:$C$33,2,)</f>
        <v>Downtown</v>
      </c>
      <c r="C1102" s="2">
        <v>44335</v>
      </c>
      <c r="D1102" s="3">
        <v>1140.8</v>
      </c>
    </row>
    <row r="1103" spans="1:4" ht="14.7" thickBot="1" x14ac:dyDescent="0.6">
      <c r="A1103" s="1" t="s">
        <v>19</v>
      </c>
      <c r="B1103" t="str">
        <f>VLOOKUP(A1103,'Area Breakdown'!$B$1:$C$33,2,)</f>
        <v>Downtown</v>
      </c>
      <c r="C1103" s="2">
        <v>44335</v>
      </c>
      <c r="D1103" s="3">
        <v>972.80000000000007</v>
      </c>
    </row>
    <row r="1104" spans="1:4" ht="14.7" thickBot="1" x14ac:dyDescent="0.6">
      <c r="A1104" s="1" t="s">
        <v>16</v>
      </c>
      <c r="B1104" t="str">
        <f>VLOOKUP(A1104,'Area Breakdown'!$B$1:$C$33,2,)</f>
        <v>Downtown</v>
      </c>
      <c r="C1104" s="2">
        <v>44335</v>
      </c>
      <c r="D1104" s="3">
        <v>914</v>
      </c>
    </row>
    <row r="1105" spans="1:4" ht="14.7" thickBot="1" x14ac:dyDescent="0.6">
      <c r="A1105" s="1" t="s">
        <v>22</v>
      </c>
      <c r="B1105" t="str">
        <f>VLOOKUP(A1105,'Area Breakdown'!$B$1:$C$33,2,)</f>
        <v>Heliopolis</v>
      </c>
      <c r="C1105" s="2">
        <v>44335</v>
      </c>
      <c r="D1105" s="3">
        <v>898.40000000000009</v>
      </c>
    </row>
    <row r="1106" spans="1:4" ht="14.7" thickBot="1" x14ac:dyDescent="0.6">
      <c r="A1106" s="1" t="s">
        <v>25</v>
      </c>
      <c r="B1106" t="str">
        <f>VLOOKUP(A1106,'Area Breakdown'!$B$1:$C$33,2,)</f>
        <v>October</v>
      </c>
      <c r="C1106" s="2">
        <v>44335</v>
      </c>
      <c r="D1106" s="3">
        <v>851.6</v>
      </c>
    </row>
    <row r="1107" spans="1:4" ht="14.7" thickBot="1" x14ac:dyDescent="0.6">
      <c r="A1107" s="1" t="s">
        <v>3</v>
      </c>
      <c r="B1107" t="str">
        <f>VLOOKUP(A1107,'Area Breakdown'!$B$1:$C$33,2,)</f>
        <v>Downtown</v>
      </c>
      <c r="C1107" s="2">
        <v>44335</v>
      </c>
      <c r="D1107" s="3">
        <v>837.2</v>
      </c>
    </row>
    <row r="1108" spans="1:4" ht="14.7" thickBot="1" x14ac:dyDescent="0.6">
      <c r="A1108" s="1" t="s">
        <v>21</v>
      </c>
      <c r="B1108" t="str">
        <f>VLOOKUP(A1108,'Area Breakdown'!$B$1:$C$33,2,)</f>
        <v>Heliopolis</v>
      </c>
      <c r="C1108" s="2">
        <v>44335</v>
      </c>
      <c r="D1108" s="3">
        <v>824.80000000000007</v>
      </c>
    </row>
    <row r="1109" spans="1:4" ht="14.7" thickBot="1" x14ac:dyDescent="0.6">
      <c r="A1109" s="1" t="s">
        <v>24</v>
      </c>
      <c r="B1109" t="str">
        <f>VLOOKUP(A1109,'Area Breakdown'!$B$1:$C$33,2,)</f>
        <v>October</v>
      </c>
      <c r="C1109" s="2">
        <v>44335</v>
      </c>
      <c r="D1109" s="3">
        <v>769.6</v>
      </c>
    </row>
    <row r="1110" spans="1:4" ht="14.7" thickBot="1" x14ac:dyDescent="0.6">
      <c r="A1110" s="1" t="s">
        <v>2</v>
      </c>
      <c r="B1110" t="str">
        <f>VLOOKUP(A1110,'Area Breakdown'!$B$1:$C$33,2,)</f>
        <v>Downtown</v>
      </c>
      <c r="C1110" s="2">
        <v>44335</v>
      </c>
      <c r="D1110" s="3">
        <v>719.2</v>
      </c>
    </row>
    <row r="1111" spans="1:4" ht="14.7" thickBot="1" x14ac:dyDescent="0.6">
      <c r="A1111" s="1" t="s">
        <v>8</v>
      </c>
      <c r="B1111" t="str">
        <f>VLOOKUP(A1111,'Area Breakdown'!$B$1:$C$33,2,)</f>
        <v>Heliopolis</v>
      </c>
      <c r="C1111" s="2">
        <v>44335</v>
      </c>
      <c r="D1111" s="3">
        <v>718.80000000000007</v>
      </c>
    </row>
    <row r="1112" spans="1:4" ht="14.7" thickBot="1" x14ac:dyDescent="0.6">
      <c r="A1112" s="1" t="s">
        <v>13</v>
      </c>
      <c r="B1112" t="str">
        <f>VLOOKUP(A1112,'Area Breakdown'!$B$1:$C$33,2,)</f>
        <v>Heliopolis</v>
      </c>
      <c r="C1112" s="2">
        <v>44335</v>
      </c>
      <c r="D1112" s="3">
        <v>616</v>
      </c>
    </row>
    <row r="1113" spans="1:4" ht="14.7" thickBot="1" x14ac:dyDescent="0.6">
      <c r="A1113" s="1" t="s">
        <v>1</v>
      </c>
      <c r="B1113" t="str">
        <f>VLOOKUP(A1113,'Area Breakdown'!$B$1:$C$33,2,)</f>
        <v>Downtown</v>
      </c>
      <c r="C1113" s="2">
        <v>44335</v>
      </c>
      <c r="D1113" s="3">
        <v>598</v>
      </c>
    </row>
    <row r="1114" spans="1:4" ht="14.7" thickBot="1" x14ac:dyDescent="0.6">
      <c r="A1114" s="1" t="s">
        <v>9</v>
      </c>
      <c r="B1114" t="str">
        <f>VLOOKUP(A1114,'Area Breakdown'!$B$1:$C$33,2,)</f>
        <v xml:space="preserve">Alexandria </v>
      </c>
      <c r="C1114" s="2">
        <v>44335</v>
      </c>
      <c r="D1114" s="3">
        <v>495.6</v>
      </c>
    </row>
    <row r="1115" spans="1:4" ht="14.7" thickBot="1" x14ac:dyDescent="0.6">
      <c r="A1115" s="1" t="s">
        <v>12</v>
      </c>
      <c r="B1115" t="str">
        <f>VLOOKUP(A1115,'Area Breakdown'!$B$1:$C$33,2,)</f>
        <v>New Cairo</v>
      </c>
      <c r="C1115" s="2">
        <v>44335</v>
      </c>
      <c r="D1115" s="3">
        <v>481.6</v>
      </c>
    </row>
    <row r="1116" spans="1:4" ht="14.7" thickBot="1" x14ac:dyDescent="0.6">
      <c r="A1116" s="1" t="s">
        <v>17</v>
      </c>
      <c r="B1116" t="str">
        <f>VLOOKUP(A1116,'Area Breakdown'!$B$1:$C$33,2,)</f>
        <v>Heliopolis</v>
      </c>
      <c r="C1116" s="2">
        <v>44335</v>
      </c>
      <c r="D1116" s="3">
        <v>435.20000000000005</v>
      </c>
    </row>
    <row r="1117" spans="1:4" ht="14.7" thickBot="1" x14ac:dyDescent="0.6">
      <c r="A1117" s="1" t="s">
        <v>4</v>
      </c>
      <c r="B1117" t="str">
        <f>VLOOKUP(A1117,'Area Breakdown'!$B$1:$C$33,2,)</f>
        <v>Downtown</v>
      </c>
      <c r="C1117" s="2">
        <v>44335</v>
      </c>
      <c r="D1117" s="3">
        <v>427.20000000000005</v>
      </c>
    </row>
    <row r="1118" spans="1:4" ht="14.7" thickBot="1" x14ac:dyDescent="0.6">
      <c r="A1118" s="1" t="s">
        <v>10</v>
      </c>
      <c r="B1118" t="str">
        <f>VLOOKUP(A1118,'Area Breakdown'!$B$1:$C$33,2,)</f>
        <v xml:space="preserve">Alexandria </v>
      </c>
      <c r="C1118" s="2">
        <v>44335</v>
      </c>
      <c r="D1118" s="3">
        <v>416.8</v>
      </c>
    </row>
    <row r="1119" spans="1:4" ht="14.7" thickBot="1" x14ac:dyDescent="0.6">
      <c r="A1119" s="1" t="s">
        <v>15</v>
      </c>
      <c r="B1119" t="str">
        <f>VLOOKUP(A1119,'Area Breakdown'!$B$1:$C$33,2,)</f>
        <v>Heliopolis</v>
      </c>
      <c r="C1119" s="2">
        <v>44335</v>
      </c>
      <c r="D1119" s="3">
        <v>376.8</v>
      </c>
    </row>
    <row r="1120" spans="1:4" ht="14.7" thickBot="1" x14ac:dyDescent="0.6">
      <c r="A1120" s="1" t="s">
        <v>11</v>
      </c>
      <c r="B1120" t="str">
        <f>VLOOKUP(A1120,'Area Breakdown'!$B$1:$C$33,2,)</f>
        <v>New Cairo</v>
      </c>
      <c r="C1120" s="2">
        <v>44335</v>
      </c>
      <c r="D1120" s="3">
        <v>367.6</v>
      </c>
    </row>
    <row r="1121" spans="1:4" ht="14.7" thickBot="1" x14ac:dyDescent="0.6">
      <c r="A1121" s="1" t="s">
        <v>23</v>
      </c>
      <c r="B1121" t="str">
        <f>VLOOKUP(A1121,'Area Breakdown'!$B$1:$C$33,2,)</f>
        <v>Heliopolis</v>
      </c>
      <c r="C1121" s="2">
        <v>44335</v>
      </c>
      <c r="D1121" s="3">
        <v>357.6</v>
      </c>
    </row>
    <row r="1122" spans="1:4" ht="14.7" thickBot="1" x14ac:dyDescent="0.6">
      <c r="A1122" s="1" t="s">
        <v>27</v>
      </c>
      <c r="B1122" t="str">
        <f>VLOOKUP(A1122,'Area Breakdown'!$B$1:$C$33,2,)</f>
        <v xml:space="preserve">Alexandria </v>
      </c>
      <c r="C1122" s="2">
        <v>44335</v>
      </c>
      <c r="D1122" s="3">
        <v>261.60000000000002</v>
      </c>
    </row>
    <row r="1123" spans="1:4" ht="14.7" thickBot="1" x14ac:dyDescent="0.6">
      <c r="A1123" s="1" t="s">
        <v>6</v>
      </c>
      <c r="B1123" t="str">
        <f>VLOOKUP(A1123,'Area Breakdown'!$B$1:$C$33,2,)</f>
        <v xml:space="preserve">Alexandria </v>
      </c>
      <c r="C1123" s="2">
        <v>44335</v>
      </c>
      <c r="D1123" s="3">
        <v>244</v>
      </c>
    </row>
    <row r="1124" spans="1:4" ht="14.7" thickBot="1" x14ac:dyDescent="0.6">
      <c r="A1124" s="1" t="s">
        <v>7</v>
      </c>
      <c r="B1124" t="str">
        <f>VLOOKUP(A1124,'Area Breakdown'!$B$1:$C$33,2,)</f>
        <v>October</v>
      </c>
      <c r="C1124" s="2">
        <v>44335</v>
      </c>
      <c r="D1124" s="3">
        <v>241.60000000000002</v>
      </c>
    </row>
    <row r="1125" spans="1:4" ht="14.7" thickBot="1" x14ac:dyDescent="0.6">
      <c r="A1125" s="1" t="s">
        <v>20</v>
      </c>
      <c r="B1125" t="str">
        <f>VLOOKUP(A1125,'Area Breakdown'!$B$1:$C$33,2,)</f>
        <v>Downtown</v>
      </c>
      <c r="C1125" s="2">
        <v>44336</v>
      </c>
      <c r="D1125" s="3">
        <v>1584.8000000000002</v>
      </c>
    </row>
    <row r="1126" spans="1:4" ht="14.7" thickBot="1" x14ac:dyDescent="0.6">
      <c r="A1126" s="1" t="s">
        <v>12</v>
      </c>
      <c r="B1126" t="str">
        <f>VLOOKUP(A1126,'Area Breakdown'!$B$1:$C$33,2,)</f>
        <v>New Cairo</v>
      </c>
      <c r="C1126" s="2">
        <v>44336</v>
      </c>
      <c r="D1126" s="3">
        <v>1397.6000000000001</v>
      </c>
    </row>
    <row r="1127" spans="1:4" ht="14.7" thickBot="1" x14ac:dyDescent="0.6">
      <c r="A1127" s="1" t="s">
        <v>22</v>
      </c>
      <c r="B1127" t="str">
        <f>VLOOKUP(A1127,'Area Breakdown'!$B$1:$C$33,2,)</f>
        <v>Heliopolis</v>
      </c>
      <c r="C1127" s="2">
        <v>44336</v>
      </c>
      <c r="D1127" s="3">
        <v>1187.2</v>
      </c>
    </row>
    <row r="1128" spans="1:4" ht="14.7" thickBot="1" x14ac:dyDescent="0.6">
      <c r="A1128" s="1" t="s">
        <v>19</v>
      </c>
      <c r="B1128" t="str">
        <f>VLOOKUP(A1128,'Area Breakdown'!$B$1:$C$33,2,)</f>
        <v>Downtown</v>
      </c>
      <c r="C1128" s="2">
        <v>44336</v>
      </c>
      <c r="D1128" s="3">
        <v>1096.4000000000001</v>
      </c>
    </row>
    <row r="1129" spans="1:4" ht="14.7" thickBot="1" x14ac:dyDescent="0.6">
      <c r="A1129" s="1" t="s">
        <v>21</v>
      </c>
      <c r="B1129" t="str">
        <f>VLOOKUP(A1129,'Area Breakdown'!$B$1:$C$33,2,)</f>
        <v>Heliopolis</v>
      </c>
      <c r="C1129" s="2">
        <v>44336</v>
      </c>
      <c r="D1129" s="3">
        <v>1072.4000000000001</v>
      </c>
    </row>
    <row r="1130" spans="1:4" ht="14.7" thickBot="1" x14ac:dyDescent="0.6">
      <c r="A1130" s="1" t="s">
        <v>3</v>
      </c>
      <c r="B1130" t="str">
        <f>VLOOKUP(A1130,'Area Breakdown'!$B$1:$C$33,2,)</f>
        <v>Downtown</v>
      </c>
      <c r="C1130" s="2">
        <v>44336</v>
      </c>
      <c r="D1130" s="3">
        <v>1068</v>
      </c>
    </row>
    <row r="1131" spans="1:4" ht="14.7" thickBot="1" x14ac:dyDescent="0.6">
      <c r="A1131" s="1" t="s">
        <v>25</v>
      </c>
      <c r="B1131" t="str">
        <f>VLOOKUP(A1131,'Area Breakdown'!$B$1:$C$33,2,)</f>
        <v>October</v>
      </c>
      <c r="C1131" s="2">
        <v>44336</v>
      </c>
      <c r="D1131" s="3">
        <v>1056</v>
      </c>
    </row>
    <row r="1132" spans="1:4" ht="14.7" thickBot="1" x14ac:dyDescent="0.6">
      <c r="A1132" s="1" t="s">
        <v>1</v>
      </c>
      <c r="B1132" t="str">
        <f>VLOOKUP(A1132,'Area Breakdown'!$B$1:$C$33,2,)</f>
        <v>Downtown</v>
      </c>
      <c r="C1132" s="2">
        <v>44336</v>
      </c>
      <c r="D1132" s="3">
        <v>998.80000000000007</v>
      </c>
    </row>
    <row r="1133" spans="1:4" ht="14.7" thickBot="1" x14ac:dyDescent="0.6">
      <c r="A1133" s="1" t="s">
        <v>16</v>
      </c>
      <c r="B1133" t="str">
        <f>VLOOKUP(A1133,'Area Breakdown'!$B$1:$C$33,2,)</f>
        <v>Downtown</v>
      </c>
      <c r="C1133" s="2">
        <v>44336</v>
      </c>
      <c r="D1133" s="3">
        <v>972.40000000000009</v>
      </c>
    </row>
    <row r="1134" spans="1:4" ht="14.7" thickBot="1" x14ac:dyDescent="0.6">
      <c r="A1134" s="1" t="s">
        <v>13</v>
      </c>
      <c r="B1134" t="str">
        <f>VLOOKUP(A1134,'Area Breakdown'!$B$1:$C$33,2,)</f>
        <v>Heliopolis</v>
      </c>
      <c r="C1134" s="2">
        <v>44336</v>
      </c>
      <c r="D1134" s="3">
        <v>830.80000000000007</v>
      </c>
    </row>
    <row r="1135" spans="1:4" ht="14.7" thickBot="1" x14ac:dyDescent="0.6">
      <c r="A1135" s="1" t="s">
        <v>2</v>
      </c>
      <c r="B1135" t="str">
        <f>VLOOKUP(A1135,'Area Breakdown'!$B$1:$C$33,2,)</f>
        <v>Downtown</v>
      </c>
      <c r="C1135" s="2">
        <v>44336</v>
      </c>
      <c r="D1135" s="3">
        <v>815.2</v>
      </c>
    </row>
    <row r="1136" spans="1:4" ht="14.7" thickBot="1" x14ac:dyDescent="0.6">
      <c r="A1136" s="1" t="s">
        <v>24</v>
      </c>
      <c r="B1136" t="str">
        <f>VLOOKUP(A1136,'Area Breakdown'!$B$1:$C$33,2,)</f>
        <v>October</v>
      </c>
      <c r="C1136" s="2">
        <v>44336</v>
      </c>
      <c r="D1136" s="3">
        <v>735.2</v>
      </c>
    </row>
    <row r="1137" spans="1:4" ht="14.7" thickBot="1" x14ac:dyDescent="0.6">
      <c r="A1137" s="1" t="s">
        <v>10</v>
      </c>
      <c r="B1137" t="str">
        <f>VLOOKUP(A1137,'Area Breakdown'!$B$1:$C$33,2,)</f>
        <v xml:space="preserve">Alexandria </v>
      </c>
      <c r="C1137" s="2">
        <v>44336</v>
      </c>
      <c r="D1137" s="3">
        <v>692.80000000000007</v>
      </c>
    </row>
    <row r="1138" spans="1:4" ht="14.7" thickBot="1" x14ac:dyDescent="0.6">
      <c r="A1138" s="1" t="s">
        <v>9</v>
      </c>
      <c r="B1138" t="str">
        <f>VLOOKUP(A1138,'Area Breakdown'!$B$1:$C$33,2,)</f>
        <v xml:space="preserve">Alexandria </v>
      </c>
      <c r="C1138" s="2">
        <v>44336</v>
      </c>
      <c r="D1138" s="3">
        <v>614.40000000000009</v>
      </c>
    </row>
    <row r="1139" spans="1:4" ht="14.7" thickBot="1" x14ac:dyDescent="0.6">
      <c r="A1139" s="1" t="s">
        <v>17</v>
      </c>
      <c r="B1139" t="str">
        <f>VLOOKUP(A1139,'Area Breakdown'!$B$1:$C$33,2,)</f>
        <v>Heliopolis</v>
      </c>
      <c r="C1139" s="2">
        <v>44336</v>
      </c>
      <c r="D1139" s="3">
        <v>612.80000000000007</v>
      </c>
    </row>
    <row r="1140" spans="1:4" ht="14.7" thickBot="1" x14ac:dyDescent="0.6">
      <c r="A1140" s="1" t="s">
        <v>15</v>
      </c>
      <c r="B1140" t="str">
        <f>VLOOKUP(A1140,'Area Breakdown'!$B$1:$C$33,2,)</f>
        <v>Heliopolis</v>
      </c>
      <c r="C1140" s="2">
        <v>44336</v>
      </c>
      <c r="D1140" s="3">
        <v>540</v>
      </c>
    </row>
    <row r="1141" spans="1:4" ht="14.7" thickBot="1" x14ac:dyDescent="0.6">
      <c r="A1141" s="1" t="s">
        <v>27</v>
      </c>
      <c r="B1141" t="str">
        <f>VLOOKUP(A1141,'Area Breakdown'!$B$1:$C$33,2,)</f>
        <v xml:space="preserve">Alexandria </v>
      </c>
      <c r="C1141" s="2">
        <v>44336</v>
      </c>
      <c r="D1141" s="3">
        <v>524.4</v>
      </c>
    </row>
    <row r="1142" spans="1:4" ht="14.7" thickBot="1" x14ac:dyDescent="0.6">
      <c r="A1142" s="1" t="s">
        <v>11</v>
      </c>
      <c r="B1142" t="str">
        <f>VLOOKUP(A1142,'Area Breakdown'!$B$1:$C$33,2,)</f>
        <v>New Cairo</v>
      </c>
      <c r="C1142" s="2">
        <v>44336</v>
      </c>
      <c r="D1142" s="3">
        <v>502</v>
      </c>
    </row>
    <row r="1143" spans="1:4" ht="14.7" thickBot="1" x14ac:dyDescent="0.6">
      <c r="A1143" s="1" t="s">
        <v>8</v>
      </c>
      <c r="B1143" t="str">
        <f>VLOOKUP(A1143,'Area Breakdown'!$B$1:$C$33,2,)</f>
        <v>Heliopolis</v>
      </c>
      <c r="C1143" s="2">
        <v>44336</v>
      </c>
      <c r="D1143" s="3">
        <v>488.8</v>
      </c>
    </row>
    <row r="1144" spans="1:4" ht="14.7" thickBot="1" x14ac:dyDescent="0.6">
      <c r="A1144" s="1" t="s">
        <v>4</v>
      </c>
      <c r="B1144" t="str">
        <f>VLOOKUP(A1144,'Area Breakdown'!$B$1:$C$33,2,)</f>
        <v>Downtown</v>
      </c>
      <c r="C1144" s="2">
        <v>44336</v>
      </c>
      <c r="D1144" s="3">
        <v>431.6</v>
      </c>
    </row>
    <row r="1145" spans="1:4" ht="14.7" thickBot="1" x14ac:dyDescent="0.6">
      <c r="A1145" s="1" t="s">
        <v>7</v>
      </c>
      <c r="B1145" t="str">
        <f>VLOOKUP(A1145,'Area Breakdown'!$B$1:$C$33,2,)</f>
        <v>October</v>
      </c>
      <c r="C1145" s="2">
        <v>44336</v>
      </c>
      <c r="D1145" s="3">
        <v>396.8</v>
      </c>
    </row>
    <row r="1146" spans="1:4" ht="14.7" thickBot="1" x14ac:dyDescent="0.6">
      <c r="A1146" s="1" t="s">
        <v>6</v>
      </c>
      <c r="B1146" t="str">
        <f>VLOOKUP(A1146,'Area Breakdown'!$B$1:$C$33,2,)</f>
        <v xml:space="preserve">Alexandria </v>
      </c>
      <c r="C1146" s="2">
        <v>44336</v>
      </c>
      <c r="D1146" s="3">
        <v>359.6</v>
      </c>
    </row>
    <row r="1147" spans="1:4" ht="14.7" thickBot="1" x14ac:dyDescent="0.6">
      <c r="A1147" s="1" t="s">
        <v>23</v>
      </c>
      <c r="B1147" t="str">
        <f>VLOOKUP(A1147,'Area Breakdown'!$B$1:$C$33,2,)</f>
        <v>Heliopolis</v>
      </c>
      <c r="C1147" s="2">
        <v>44336</v>
      </c>
      <c r="D1147" s="3">
        <v>252</v>
      </c>
    </row>
    <row r="1148" spans="1:4" ht="14.7" thickBot="1" x14ac:dyDescent="0.6">
      <c r="A1148" s="1" t="s">
        <v>0</v>
      </c>
      <c r="B1148" t="str">
        <f>VLOOKUP(A1148,'Area Breakdown'!$B$1:$C$33,2,)</f>
        <v>Downtown</v>
      </c>
      <c r="C1148" s="2">
        <v>44336</v>
      </c>
      <c r="D1148" s="3">
        <v>1628.8000000000002</v>
      </c>
    </row>
    <row r="1149" spans="1:4" ht="14.7" thickBot="1" x14ac:dyDescent="0.6">
      <c r="A1149" s="1" t="s">
        <v>22</v>
      </c>
      <c r="B1149" t="str">
        <f>VLOOKUP(A1149,'Area Breakdown'!$B$1:$C$33,2,)</f>
        <v>Heliopolis</v>
      </c>
      <c r="C1149" s="2">
        <v>44337</v>
      </c>
      <c r="D1149" s="3">
        <v>1196.8</v>
      </c>
    </row>
    <row r="1150" spans="1:4" ht="14.7" thickBot="1" x14ac:dyDescent="0.6">
      <c r="A1150" s="1" t="s">
        <v>25</v>
      </c>
      <c r="B1150" t="str">
        <f>VLOOKUP(A1150,'Area Breakdown'!$B$1:$C$33,2,)</f>
        <v>October</v>
      </c>
      <c r="C1150" s="2">
        <v>44337</v>
      </c>
      <c r="D1150" s="3">
        <v>962.80000000000007</v>
      </c>
    </row>
    <row r="1151" spans="1:4" ht="14.7" thickBot="1" x14ac:dyDescent="0.6">
      <c r="A1151" s="1" t="s">
        <v>0</v>
      </c>
      <c r="B1151" t="str">
        <f>VLOOKUP(A1151,'Area Breakdown'!$B$1:$C$33,2,)</f>
        <v>Downtown</v>
      </c>
      <c r="C1151" s="2">
        <v>44337</v>
      </c>
      <c r="D1151" s="3">
        <v>847.2</v>
      </c>
    </row>
    <row r="1152" spans="1:4" ht="14.7" thickBot="1" x14ac:dyDescent="0.6">
      <c r="A1152" s="1" t="s">
        <v>16</v>
      </c>
      <c r="B1152" t="str">
        <f>VLOOKUP(A1152,'Area Breakdown'!$B$1:$C$33,2,)</f>
        <v>Downtown</v>
      </c>
      <c r="C1152" s="2">
        <v>44337</v>
      </c>
      <c r="D1152" s="3">
        <v>843.2</v>
      </c>
    </row>
    <row r="1153" spans="1:4" ht="14.7" thickBot="1" x14ac:dyDescent="0.6">
      <c r="A1153" s="1" t="s">
        <v>20</v>
      </c>
      <c r="B1153" t="str">
        <f>VLOOKUP(A1153,'Area Breakdown'!$B$1:$C$33,2,)</f>
        <v>Downtown</v>
      </c>
      <c r="C1153" s="2">
        <v>44337</v>
      </c>
      <c r="D1153" s="3">
        <v>761.6</v>
      </c>
    </row>
    <row r="1154" spans="1:4" ht="14.7" thickBot="1" x14ac:dyDescent="0.6">
      <c r="A1154" s="1" t="s">
        <v>12</v>
      </c>
      <c r="B1154" t="str">
        <f>VLOOKUP(A1154,'Area Breakdown'!$B$1:$C$33,2,)</f>
        <v>New Cairo</v>
      </c>
      <c r="C1154" s="2">
        <v>44337</v>
      </c>
      <c r="D1154" s="3">
        <v>741.2</v>
      </c>
    </row>
    <row r="1155" spans="1:4" ht="14.7" thickBot="1" x14ac:dyDescent="0.6">
      <c r="A1155" s="1" t="s">
        <v>15</v>
      </c>
      <c r="B1155" t="str">
        <f>VLOOKUP(A1155,'Area Breakdown'!$B$1:$C$33,2,)</f>
        <v>Heliopolis</v>
      </c>
      <c r="C1155" s="2">
        <v>44337</v>
      </c>
      <c r="D1155" s="3">
        <v>689.2</v>
      </c>
    </row>
    <row r="1156" spans="1:4" ht="14.7" thickBot="1" x14ac:dyDescent="0.6">
      <c r="A1156" s="1" t="s">
        <v>9</v>
      </c>
      <c r="B1156" t="str">
        <f>VLOOKUP(A1156,'Area Breakdown'!$B$1:$C$33,2,)</f>
        <v xml:space="preserve">Alexandria </v>
      </c>
      <c r="C1156" s="2">
        <v>44337</v>
      </c>
      <c r="D1156" s="3">
        <v>676.80000000000007</v>
      </c>
    </row>
    <row r="1157" spans="1:4" ht="14.7" thickBot="1" x14ac:dyDescent="0.6">
      <c r="A1157" s="1" t="s">
        <v>21</v>
      </c>
      <c r="B1157" t="str">
        <f>VLOOKUP(A1157,'Area Breakdown'!$B$1:$C$33,2,)</f>
        <v>Heliopolis</v>
      </c>
      <c r="C1157" s="2">
        <v>44337</v>
      </c>
      <c r="D1157" s="3">
        <v>676.40000000000009</v>
      </c>
    </row>
    <row r="1158" spans="1:4" ht="14.7" thickBot="1" x14ac:dyDescent="0.6">
      <c r="A1158" s="1" t="s">
        <v>7</v>
      </c>
      <c r="B1158" t="str">
        <f>VLOOKUP(A1158,'Area Breakdown'!$B$1:$C$33,2,)</f>
        <v>October</v>
      </c>
      <c r="C1158" s="2">
        <v>44337</v>
      </c>
      <c r="D1158" s="3">
        <v>676.40000000000009</v>
      </c>
    </row>
    <row r="1159" spans="1:4" ht="14.7" thickBot="1" x14ac:dyDescent="0.6">
      <c r="A1159" s="1" t="s">
        <v>19</v>
      </c>
      <c r="B1159" t="str">
        <f>VLOOKUP(A1159,'Area Breakdown'!$B$1:$C$33,2,)</f>
        <v>Downtown</v>
      </c>
      <c r="C1159" s="2">
        <v>44337</v>
      </c>
      <c r="D1159" s="3">
        <v>652.40000000000009</v>
      </c>
    </row>
    <row r="1160" spans="1:4" ht="14.7" thickBot="1" x14ac:dyDescent="0.6">
      <c r="A1160" s="1" t="s">
        <v>3</v>
      </c>
      <c r="B1160" t="str">
        <f>VLOOKUP(A1160,'Area Breakdown'!$B$1:$C$33,2,)</f>
        <v>Downtown</v>
      </c>
      <c r="C1160" s="2">
        <v>44337</v>
      </c>
      <c r="D1160" s="3">
        <v>636.40000000000009</v>
      </c>
    </row>
    <row r="1161" spans="1:4" ht="14.7" thickBot="1" x14ac:dyDescent="0.6">
      <c r="A1161" s="1" t="s">
        <v>17</v>
      </c>
      <c r="B1161" t="str">
        <f>VLOOKUP(A1161,'Area Breakdown'!$B$1:$C$33,2,)</f>
        <v>Heliopolis</v>
      </c>
      <c r="C1161" s="2">
        <v>44337</v>
      </c>
      <c r="D1161" s="3">
        <v>526</v>
      </c>
    </row>
    <row r="1162" spans="1:4" ht="14.7" thickBot="1" x14ac:dyDescent="0.6">
      <c r="A1162" s="1" t="s">
        <v>27</v>
      </c>
      <c r="B1162" t="str">
        <f>VLOOKUP(A1162,'Area Breakdown'!$B$1:$C$33,2,)</f>
        <v xml:space="preserve">Alexandria </v>
      </c>
      <c r="C1162" s="2">
        <v>44337</v>
      </c>
      <c r="D1162" s="3">
        <v>491.20000000000005</v>
      </c>
    </row>
    <row r="1163" spans="1:4" ht="14.7" thickBot="1" x14ac:dyDescent="0.6">
      <c r="A1163" s="1" t="s">
        <v>13</v>
      </c>
      <c r="B1163" t="str">
        <f>VLOOKUP(A1163,'Area Breakdown'!$B$1:$C$33,2,)</f>
        <v>Heliopolis</v>
      </c>
      <c r="C1163" s="2">
        <v>44337</v>
      </c>
      <c r="D1163" s="3">
        <v>422.8</v>
      </c>
    </row>
    <row r="1164" spans="1:4" ht="14.7" thickBot="1" x14ac:dyDescent="0.6">
      <c r="A1164" s="1" t="s">
        <v>1</v>
      </c>
      <c r="B1164" t="str">
        <f>VLOOKUP(A1164,'Area Breakdown'!$B$1:$C$33,2,)</f>
        <v>Downtown</v>
      </c>
      <c r="C1164" s="2">
        <v>44337</v>
      </c>
      <c r="D1164" s="3">
        <v>418.40000000000003</v>
      </c>
    </row>
    <row r="1165" spans="1:4" ht="14.7" thickBot="1" x14ac:dyDescent="0.6">
      <c r="A1165" s="1" t="s">
        <v>6</v>
      </c>
      <c r="B1165" t="str">
        <f>VLOOKUP(A1165,'Area Breakdown'!$B$1:$C$33,2,)</f>
        <v xml:space="preserve">Alexandria </v>
      </c>
      <c r="C1165" s="2">
        <v>44337</v>
      </c>
      <c r="D1165" s="3">
        <v>390</v>
      </c>
    </row>
    <row r="1166" spans="1:4" ht="14.7" thickBot="1" x14ac:dyDescent="0.6">
      <c r="A1166" s="1" t="s">
        <v>10</v>
      </c>
      <c r="B1166" t="str">
        <f>VLOOKUP(A1166,'Area Breakdown'!$B$1:$C$33,2,)</f>
        <v xml:space="preserve">Alexandria </v>
      </c>
      <c r="C1166" s="2">
        <v>44337</v>
      </c>
      <c r="D1166" s="3">
        <v>385.6</v>
      </c>
    </row>
    <row r="1167" spans="1:4" ht="14.7" thickBot="1" x14ac:dyDescent="0.6">
      <c r="A1167" s="1" t="s">
        <v>2</v>
      </c>
      <c r="B1167" t="str">
        <f>VLOOKUP(A1167,'Area Breakdown'!$B$1:$C$33,2,)</f>
        <v>Downtown</v>
      </c>
      <c r="C1167" s="2">
        <v>44337</v>
      </c>
      <c r="D1167" s="3">
        <v>304.8</v>
      </c>
    </row>
    <row r="1168" spans="1:4" ht="14.7" thickBot="1" x14ac:dyDescent="0.6">
      <c r="A1168" s="1" t="s">
        <v>4</v>
      </c>
      <c r="B1168" t="str">
        <f>VLOOKUP(A1168,'Area Breakdown'!$B$1:$C$33,2,)</f>
        <v>Downtown</v>
      </c>
      <c r="C1168" s="2">
        <v>44337</v>
      </c>
      <c r="D1168" s="3">
        <v>225.20000000000002</v>
      </c>
    </row>
    <row r="1169" spans="1:4" ht="14.7" thickBot="1" x14ac:dyDescent="0.6">
      <c r="A1169" s="1" t="s">
        <v>11</v>
      </c>
      <c r="B1169" t="str">
        <f>VLOOKUP(A1169,'Area Breakdown'!$B$1:$C$33,2,)</f>
        <v>New Cairo</v>
      </c>
      <c r="C1169" s="2">
        <v>44337</v>
      </c>
      <c r="D1169" s="3">
        <v>142.4</v>
      </c>
    </row>
    <row r="1170" spans="1:4" ht="14.7" thickBot="1" x14ac:dyDescent="0.6">
      <c r="A1170" s="1" t="s">
        <v>8</v>
      </c>
      <c r="B1170" t="str">
        <f>VLOOKUP(A1170,'Area Breakdown'!$B$1:$C$33,2,)</f>
        <v>Heliopolis</v>
      </c>
      <c r="C1170" s="2">
        <v>44337</v>
      </c>
      <c r="D1170" s="3">
        <v>124</v>
      </c>
    </row>
    <row r="1171" spans="1:4" ht="14.7" thickBot="1" x14ac:dyDescent="0.6">
      <c r="A1171" s="1" t="s">
        <v>23</v>
      </c>
      <c r="B1171" t="str">
        <f>VLOOKUP(A1171,'Area Breakdown'!$B$1:$C$33,2,)</f>
        <v>Heliopolis</v>
      </c>
      <c r="C1171" s="2">
        <v>44337</v>
      </c>
      <c r="D1171" s="3">
        <v>102.4</v>
      </c>
    </row>
    <row r="1172" spans="1:4" ht="14.7" thickBot="1" x14ac:dyDescent="0.6">
      <c r="A1172" s="1" t="s">
        <v>24</v>
      </c>
      <c r="B1172" t="str">
        <f>VLOOKUP(A1172,'Area Breakdown'!$B$1:$C$33,2,)</f>
        <v>October</v>
      </c>
      <c r="C1172" s="2">
        <v>44337</v>
      </c>
      <c r="D1172" s="3">
        <v>32.4</v>
      </c>
    </row>
    <row r="1173" spans="1:4" ht="14.7" thickBot="1" x14ac:dyDescent="0.6">
      <c r="A1173" s="1" t="s">
        <v>12</v>
      </c>
      <c r="B1173" t="str">
        <f>VLOOKUP(A1173,'Area Breakdown'!$B$1:$C$33,2,)</f>
        <v>New Cairo</v>
      </c>
      <c r="C1173" s="2">
        <v>44338</v>
      </c>
      <c r="D1173" s="3">
        <v>1188</v>
      </c>
    </row>
    <row r="1174" spans="1:4" ht="14.7" thickBot="1" x14ac:dyDescent="0.6">
      <c r="A1174" s="1" t="s">
        <v>7</v>
      </c>
      <c r="B1174" t="str">
        <f>VLOOKUP(A1174,'Area Breakdown'!$B$1:$C$33,2,)</f>
        <v>October</v>
      </c>
      <c r="C1174" s="2">
        <v>44338</v>
      </c>
      <c r="D1174" s="3">
        <v>997.6</v>
      </c>
    </row>
    <row r="1175" spans="1:4" ht="14.7" thickBot="1" x14ac:dyDescent="0.6">
      <c r="A1175" s="1" t="s">
        <v>22</v>
      </c>
      <c r="B1175" t="str">
        <f>VLOOKUP(A1175,'Area Breakdown'!$B$1:$C$33,2,)</f>
        <v>Heliopolis</v>
      </c>
      <c r="C1175" s="2">
        <v>44338</v>
      </c>
      <c r="D1175" s="3">
        <v>903.6</v>
      </c>
    </row>
    <row r="1176" spans="1:4" ht="14.7" thickBot="1" x14ac:dyDescent="0.6">
      <c r="A1176" s="1" t="s">
        <v>0</v>
      </c>
      <c r="B1176" t="str">
        <f>VLOOKUP(A1176,'Area Breakdown'!$B$1:$C$33,2,)</f>
        <v>Downtown</v>
      </c>
      <c r="C1176" s="2">
        <v>44338</v>
      </c>
      <c r="D1176" s="3">
        <v>780</v>
      </c>
    </row>
    <row r="1177" spans="1:4" ht="14.7" thickBot="1" x14ac:dyDescent="0.6">
      <c r="A1177" s="1" t="s">
        <v>16</v>
      </c>
      <c r="B1177" t="str">
        <f>VLOOKUP(A1177,'Area Breakdown'!$B$1:$C$33,2,)</f>
        <v>Downtown</v>
      </c>
      <c r="C1177" s="2">
        <v>44338</v>
      </c>
      <c r="D1177" s="3">
        <v>653.6</v>
      </c>
    </row>
    <row r="1178" spans="1:4" ht="14.7" thickBot="1" x14ac:dyDescent="0.6">
      <c r="A1178" s="1" t="s">
        <v>25</v>
      </c>
      <c r="B1178" t="str">
        <f>VLOOKUP(A1178,'Area Breakdown'!$B$1:$C$33,2,)</f>
        <v>October</v>
      </c>
      <c r="C1178" s="2">
        <v>44338</v>
      </c>
      <c r="D1178" s="3">
        <v>630</v>
      </c>
    </row>
    <row r="1179" spans="1:4" ht="14.7" thickBot="1" x14ac:dyDescent="0.6">
      <c r="A1179" s="1" t="s">
        <v>20</v>
      </c>
      <c r="B1179" t="str">
        <f>VLOOKUP(A1179,'Area Breakdown'!$B$1:$C$33,2,)</f>
        <v>Downtown</v>
      </c>
      <c r="C1179" s="2">
        <v>44338</v>
      </c>
      <c r="D1179" s="3">
        <v>559.20000000000005</v>
      </c>
    </row>
    <row r="1180" spans="1:4" ht="14.7" thickBot="1" x14ac:dyDescent="0.6">
      <c r="A1180" s="1" t="s">
        <v>10</v>
      </c>
      <c r="B1180" t="str">
        <f>VLOOKUP(A1180,'Area Breakdown'!$B$1:$C$33,2,)</f>
        <v xml:space="preserve">Alexandria </v>
      </c>
      <c r="C1180" s="2">
        <v>44338</v>
      </c>
      <c r="D1180" s="3">
        <v>498.8</v>
      </c>
    </row>
    <row r="1181" spans="1:4" ht="14.7" thickBot="1" x14ac:dyDescent="0.6">
      <c r="A1181" s="1" t="s">
        <v>3</v>
      </c>
      <c r="B1181" t="str">
        <f>VLOOKUP(A1181,'Area Breakdown'!$B$1:$C$33,2,)</f>
        <v>Downtown</v>
      </c>
      <c r="C1181" s="2">
        <v>44338</v>
      </c>
      <c r="D1181" s="3">
        <v>485.6</v>
      </c>
    </row>
    <row r="1182" spans="1:4" ht="14.7" thickBot="1" x14ac:dyDescent="0.6">
      <c r="A1182" s="1" t="s">
        <v>27</v>
      </c>
      <c r="B1182" t="str">
        <f>VLOOKUP(A1182,'Area Breakdown'!$B$1:$C$33,2,)</f>
        <v xml:space="preserve">Alexandria </v>
      </c>
      <c r="C1182" s="2">
        <v>44338</v>
      </c>
      <c r="D1182" s="3">
        <v>484.8</v>
      </c>
    </row>
    <row r="1183" spans="1:4" ht="14.7" thickBot="1" x14ac:dyDescent="0.6">
      <c r="A1183" s="1" t="s">
        <v>24</v>
      </c>
      <c r="B1183" t="str">
        <f>VLOOKUP(A1183,'Area Breakdown'!$B$1:$C$33,2,)</f>
        <v>October</v>
      </c>
      <c r="C1183" s="2">
        <v>44338</v>
      </c>
      <c r="D1183" s="3">
        <v>476.40000000000003</v>
      </c>
    </row>
    <row r="1184" spans="1:4" ht="14.7" thickBot="1" x14ac:dyDescent="0.6">
      <c r="A1184" s="1" t="s">
        <v>1</v>
      </c>
      <c r="B1184" t="str">
        <f>VLOOKUP(A1184,'Area Breakdown'!$B$1:$C$33,2,)</f>
        <v>Downtown</v>
      </c>
      <c r="C1184" s="2">
        <v>44338</v>
      </c>
      <c r="D1184" s="3">
        <v>412</v>
      </c>
    </row>
    <row r="1185" spans="1:4" ht="14.7" thickBot="1" x14ac:dyDescent="0.6">
      <c r="A1185" s="1" t="s">
        <v>9</v>
      </c>
      <c r="B1185" t="str">
        <f>VLOOKUP(A1185,'Area Breakdown'!$B$1:$C$33,2,)</f>
        <v xml:space="preserve">Alexandria </v>
      </c>
      <c r="C1185" s="2">
        <v>44338</v>
      </c>
      <c r="D1185" s="3">
        <v>405.6</v>
      </c>
    </row>
    <row r="1186" spans="1:4" ht="14.7" thickBot="1" x14ac:dyDescent="0.6">
      <c r="A1186" s="1" t="s">
        <v>2</v>
      </c>
      <c r="B1186" t="str">
        <f>VLOOKUP(A1186,'Area Breakdown'!$B$1:$C$33,2,)</f>
        <v>Downtown</v>
      </c>
      <c r="C1186" s="2">
        <v>44338</v>
      </c>
      <c r="D1186" s="3">
        <v>396.8</v>
      </c>
    </row>
    <row r="1187" spans="1:4" ht="14.7" thickBot="1" x14ac:dyDescent="0.6">
      <c r="A1187" s="1" t="s">
        <v>21</v>
      </c>
      <c r="B1187" t="str">
        <f>VLOOKUP(A1187,'Area Breakdown'!$B$1:$C$33,2,)</f>
        <v>Heliopolis</v>
      </c>
      <c r="C1187" s="2">
        <v>44338</v>
      </c>
      <c r="D1187" s="3">
        <v>374</v>
      </c>
    </row>
    <row r="1188" spans="1:4" ht="14.7" thickBot="1" x14ac:dyDescent="0.6">
      <c r="A1188" s="1" t="s">
        <v>19</v>
      </c>
      <c r="B1188" t="str">
        <f>VLOOKUP(A1188,'Area Breakdown'!$B$1:$C$33,2,)</f>
        <v>Downtown</v>
      </c>
      <c r="C1188" s="2">
        <v>44338</v>
      </c>
      <c r="D1188" s="3">
        <v>370.40000000000003</v>
      </c>
    </row>
    <row r="1189" spans="1:4" ht="14.7" thickBot="1" x14ac:dyDescent="0.6">
      <c r="A1189" s="1" t="s">
        <v>11</v>
      </c>
      <c r="B1189" t="str">
        <f>VLOOKUP(A1189,'Area Breakdown'!$B$1:$C$33,2,)</f>
        <v>New Cairo</v>
      </c>
      <c r="C1189" s="2">
        <v>44338</v>
      </c>
      <c r="D1189" s="3">
        <v>326</v>
      </c>
    </row>
    <row r="1190" spans="1:4" ht="14.7" thickBot="1" x14ac:dyDescent="0.6">
      <c r="A1190" s="1" t="s">
        <v>15</v>
      </c>
      <c r="B1190" t="str">
        <f>VLOOKUP(A1190,'Area Breakdown'!$B$1:$C$33,2,)</f>
        <v>Heliopolis</v>
      </c>
      <c r="C1190" s="2">
        <v>44338</v>
      </c>
      <c r="D1190" s="3">
        <v>324.8</v>
      </c>
    </row>
    <row r="1191" spans="1:4" ht="14.7" thickBot="1" x14ac:dyDescent="0.6">
      <c r="A1191" s="1" t="s">
        <v>13</v>
      </c>
      <c r="B1191" t="str">
        <f>VLOOKUP(A1191,'Area Breakdown'!$B$1:$C$33,2,)</f>
        <v>Heliopolis</v>
      </c>
      <c r="C1191" s="2">
        <v>44338</v>
      </c>
      <c r="D1191" s="3">
        <v>299.60000000000002</v>
      </c>
    </row>
    <row r="1192" spans="1:4" ht="14.7" thickBot="1" x14ac:dyDescent="0.6">
      <c r="A1192" s="1" t="s">
        <v>8</v>
      </c>
      <c r="B1192" t="str">
        <f>VLOOKUP(A1192,'Area Breakdown'!$B$1:$C$33,2,)</f>
        <v>Heliopolis</v>
      </c>
      <c r="C1192" s="2">
        <v>44338</v>
      </c>
      <c r="D1192" s="3">
        <v>292.8</v>
      </c>
    </row>
    <row r="1193" spans="1:4" ht="14.7" thickBot="1" x14ac:dyDescent="0.6">
      <c r="A1193" s="1" t="s">
        <v>6</v>
      </c>
      <c r="B1193" t="str">
        <f>VLOOKUP(A1193,'Area Breakdown'!$B$1:$C$33,2,)</f>
        <v xml:space="preserve">Alexandria </v>
      </c>
      <c r="C1193" s="2">
        <v>44338</v>
      </c>
      <c r="D1193" s="3">
        <v>226</v>
      </c>
    </row>
    <row r="1194" spans="1:4" ht="14.7" thickBot="1" x14ac:dyDescent="0.6">
      <c r="A1194" s="1" t="s">
        <v>4</v>
      </c>
      <c r="B1194" t="str">
        <f>VLOOKUP(A1194,'Area Breakdown'!$B$1:$C$33,2,)</f>
        <v>Downtown</v>
      </c>
      <c r="C1194" s="2">
        <v>44338</v>
      </c>
      <c r="D1194" s="3">
        <v>205.60000000000002</v>
      </c>
    </row>
    <row r="1195" spans="1:4" ht="14.7" thickBot="1" x14ac:dyDescent="0.6">
      <c r="A1195" s="1" t="s">
        <v>23</v>
      </c>
      <c r="B1195" t="str">
        <f>VLOOKUP(A1195,'Area Breakdown'!$B$1:$C$33,2,)</f>
        <v>Heliopolis</v>
      </c>
      <c r="C1195" s="2">
        <v>44338</v>
      </c>
      <c r="D1195" s="3">
        <v>160</v>
      </c>
    </row>
    <row r="1196" spans="1:4" ht="14.7" thickBot="1" x14ac:dyDescent="0.6">
      <c r="A1196" s="1" t="s">
        <v>17</v>
      </c>
      <c r="B1196" t="str">
        <f>VLOOKUP(A1196,'Area Breakdown'!$B$1:$C$33,2,)</f>
        <v>Heliopolis</v>
      </c>
      <c r="C1196" s="2">
        <v>44338</v>
      </c>
      <c r="D1196" s="3">
        <v>158</v>
      </c>
    </row>
    <row r="1197" spans="1:4" ht="14.7" thickBot="1" x14ac:dyDescent="0.6">
      <c r="A1197" s="1" t="s">
        <v>12</v>
      </c>
      <c r="B1197" t="str">
        <f>VLOOKUP(A1197,'Area Breakdown'!$B$1:$C$33,2,)</f>
        <v>New Cairo</v>
      </c>
      <c r="C1197" s="2">
        <v>44339</v>
      </c>
      <c r="D1197" s="3">
        <v>1375.2</v>
      </c>
    </row>
    <row r="1198" spans="1:4" ht="14.7" thickBot="1" x14ac:dyDescent="0.6">
      <c r="A1198" s="1" t="s">
        <v>21</v>
      </c>
      <c r="B1198" t="str">
        <f>VLOOKUP(A1198,'Area Breakdown'!$B$1:$C$33,2,)</f>
        <v>Heliopolis</v>
      </c>
      <c r="C1198" s="2">
        <v>44339</v>
      </c>
      <c r="D1198" s="3">
        <v>1374.8000000000002</v>
      </c>
    </row>
    <row r="1199" spans="1:4" ht="14.7" thickBot="1" x14ac:dyDescent="0.6">
      <c r="A1199" s="1" t="s">
        <v>0</v>
      </c>
      <c r="B1199" t="str">
        <f>VLOOKUP(A1199,'Area Breakdown'!$B$1:$C$33,2,)</f>
        <v>Downtown</v>
      </c>
      <c r="C1199" s="2">
        <v>44339</v>
      </c>
      <c r="D1199" s="3">
        <v>1129.2</v>
      </c>
    </row>
    <row r="1200" spans="1:4" ht="14.7" thickBot="1" x14ac:dyDescent="0.6">
      <c r="A1200" s="1" t="s">
        <v>22</v>
      </c>
      <c r="B1200" t="str">
        <f>VLOOKUP(A1200,'Area Breakdown'!$B$1:$C$33,2,)</f>
        <v>Heliopolis</v>
      </c>
      <c r="C1200" s="2">
        <v>44339</v>
      </c>
      <c r="D1200" s="3">
        <v>1030</v>
      </c>
    </row>
    <row r="1201" spans="1:4" ht="14.7" thickBot="1" x14ac:dyDescent="0.6">
      <c r="A1201" s="1" t="s">
        <v>8</v>
      </c>
      <c r="B1201" t="str">
        <f>VLOOKUP(A1201,'Area Breakdown'!$B$1:$C$33,2,)</f>
        <v>Heliopolis</v>
      </c>
      <c r="C1201" s="2">
        <v>44339</v>
      </c>
      <c r="D1201" s="3">
        <v>862</v>
      </c>
    </row>
    <row r="1202" spans="1:4" ht="14.7" thickBot="1" x14ac:dyDescent="0.6">
      <c r="A1202" s="1" t="s">
        <v>25</v>
      </c>
      <c r="B1202" t="str">
        <f>VLOOKUP(A1202,'Area Breakdown'!$B$1:$C$33,2,)</f>
        <v>October</v>
      </c>
      <c r="C1202" s="2">
        <v>44339</v>
      </c>
      <c r="D1202" s="3">
        <v>856.40000000000009</v>
      </c>
    </row>
    <row r="1203" spans="1:4" ht="14.7" thickBot="1" x14ac:dyDescent="0.6">
      <c r="A1203" s="1" t="s">
        <v>19</v>
      </c>
      <c r="B1203" t="str">
        <f>VLOOKUP(A1203,'Area Breakdown'!$B$1:$C$33,2,)</f>
        <v>Downtown</v>
      </c>
      <c r="C1203" s="2">
        <v>44339</v>
      </c>
      <c r="D1203" s="3">
        <v>849.2</v>
      </c>
    </row>
    <row r="1204" spans="1:4" ht="14.7" thickBot="1" x14ac:dyDescent="0.6">
      <c r="A1204" s="1" t="s">
        <v>20</v>
      </c>
      <c r="B1204" t="str">
        <f>VLOOKUP(A1204,'Area Breakdown'!$B$1:$C$33,2,)</f>
        <v>Downtown</v>
      </c>
      <c r="C1204" s="2">
        <v>44339</v>
      </c>
      <c r="D1204" s="3">
        <v>832</v>
      </c>
    </row>
    <row r="1205" spans="1:4" ht="14.7" thickBot="1" x14ac:dyDescent="0.6">
      <c r="A1205" s="1" t="s">
        <v>3</v>
      </c>
      <c r="B1205" t="str">
        <f>VLOOKUP(A1205,'Area Breakdown'!$B$1:$C$33,2,)</f>
        <v>Downtown</v>
      </c>
      <c r="C1205" s="2">
        <v>44339</v>
      </c>
      <c r="D1205" s="3">
        <v>822.80000000000007</v>
      </c>
    </row>
    <row r="1206" spans="1:4" ht="14.7" thickBot="1" x14ac:dyDescent="0.6">
      <c r="A1206" s="1" t="s">
        <v>16</v>
      </c>
      <c r="B1206" t="str">
        <f>VLOOKUP(A1206,'Area Breakdown'!$B$1:$C$33,2,)</f>
        <v>Downtown</v>
      </c>
      <c r="C1206" s="2">
        <v>44339</v>
      </c>
      <c r="D1206" s="3">
        <v>820</v>
      </c>
    </row>
    <row r="1207" spans="1:4" ht="14.7" thickBot="1" x14ac:dyDescent="0.6">
      <c r="A1207" s="1" t="s">
        <v>9</v>
      </c>
      <c r="B1207" t="str">
        <f>VLOOKUP(A1207,'Area Breakdown'!$B$1:$C$33,2,)</f>
        <v xml:space="preserve">Alexandria </v>
      </c>
      <c r="C1207" s="2">
        <v>44339</v>
      </c>
      <c r="D1207" s="3">
        <v>751.6</v>
      </c>
    </row>
    <row r="1208" spans="1:4" ht="14.7" thickBot="1" x14ac:dyDescent="0.6">
      <c r="A1208" s="1" t="s">
        <v>11</v>
      </c>
      <c r="B1208" t="str">
        <f>VLOOKUP(A1208,'Area Breakdown'!$B$1:$C$33,2,)</f>
        <v>New Cairo</v>
      </c>
      <c r="C1208" s="2">
        <v>44339</v>
      </c>
      <c r="D1208" s="3">
        <v>616.80000000000007</v>
      </c>
    </row>
    <row r="1209" spans="1:4" ht="14.7" thickBot="1" x14ac:dyDescent="0.6">
      <c r="A1209" s="1" t="s">
        <v>13</v>
      </c>
      <c r="B1209" t="str">
        <f>VLOOKUP(A1209,'Area Breakdown'!$B$1:$C$33,2,)</f>
        <v>Heliopolis</v>
      </c>
      <c r="C1209" s="2">
        <v>44339</v>
      </c>
      <c r="D1209" s="3">
        <v>594</v>
      </c>
    </row>
    <row r="1210" spans="1:4" ht="14.7" thickBot="1" x14ac:dyDescent="0.6">
      <c r="A1210" s="1" t="s">
        <v>15</v>
      </c>
      <c r="B1210" t="str">
        <f>VLOOKUP(A1210,'Area Breakdown'!$B$1:$C$33,2,)</f>
        <v>Heliopolis</v>
      </c>
      <c r="C1210" s="2">
        <v>44339</v>
      </c>
      <c r="D1210" s="3">
        <v>590</v>
      </c>
    </row>
    <row r="1211" spans="1:4" ht="14.7" thickBot="1" x14ac:dyDescent="0.6">
      <c r="A1211" s="1" t="s">
        <v>2</v>
      </c>
      <c r="B1211" t="str">
        <f>VLOOKUP(A1211,'Area Breakdown'!$B$1:$C$33,2,)</f>
        <v>Downtown</v>
      </c>
      <c r="C1211" s="2">
        <v>44339</v>
      </c>
      <c r="D1211" s="3">
        <v>560.4</v>
      </c>
    </row>
    <row r="1212" spans="1:4" ht="14.7" thickBot="1" x14ac:dyDescent="0.6">
      <c r="A1212" s="1" t="s">
        <v>24</v>
      </c>
      <c r="B1212" t="str">
        <f>VLOOKUP(A1212,'Area Breakdown'!$B$1:$C$33,2,)</f>
        <v>October</v>
      </c>
      <c r="C1212" s="2">
        <v>44339</v>
      </c>
      <c r="D1212" s="3">
        <v>485.6</v>
      </c>
    </row>
    <row r="1213" spans="1:4" ht="14.7" thickBot="1" x14ac:dyDescent="0.6">
      <c r="A1213" s="1" t="s">
        <v>1</v>
      </c>
      <c r="B1213" t="str">
        <f>VLOOKUP(A1213,'Area Breakdown'!$B$1:$C$33,2,)</f>
        <v>Downtown</v>
      </c>
      <c r="C1213" s="2">
        <v>44339</v>
      </c>
      <c r="D1213" s="3">
        <v>463.20000000000005</v>
      </c>
    </row>
    <row r="1214" spans="1:4" ht="14.7" thickBot="1" x14ac:dyDescent="0.6">
      <c r="A1214" s="1" t="s">
        <v>27</v>
      </c>
      <c r="B1214" t="str">
        <f>VLOOKUP(A1214,'Area Breakdown'!$B$1:$C$33,2,)</f>
        <v xml:space="preserve">Alexandria </v>
      </c>
      <c r="C1214" s="2">
        <v>44339</v>
      </c>
      <c r="D1214" s="3">
        <v>432</v>
      </c>
    </row>
    <row r="1215" spans="1:4" ht="14.7" thickBot="1" x14ac:dyDescent="0.6">
      <c r="A1215" s="1" t="s">
        <v>10</v>
      </c>
      <c r="B1215" t="str">
        <f>VLOOKUP(A1215,'Area Breakdown'!$B$1:$C$33,2,)</f>
        <v xml:space="preserve">Alexandria </v>
      </c>
      <c r="C1215" s="2">
        <v>44339</v>
      </c>
      <c r="D1215" s="3">
        <v>365.6</v>
      </c>
    </row>
    <row r="1216" spans="1:4" ht="14.7" thickBot="1" x14ac:dyDescent="0.6">
      <c r="A1216" s="1" t="s">
        <v>4</v>
      </c>
      <c r="B1216" t="str">
        <f>VLOOKUP(A1216,'Area Breakdown'!$B$1:$C$33,2,)</f>
        <v>Downtown</v>
      </c>
      <c r="C1216" s="2">
        <v>44339</v>
      </c>
      <c r="D1216" s="3">
        <v>364</v>
      </c>
    </row>
    <row r="1217" spans="1:4" ht="14.7" thickBot="1" x14ac:dyDescent="0.6">
      <c r="A1217" s="1" t="s">
        <v>7</v>
      </c>
      <c r="B1217" t="str">
        <f>VLOOKUP(A1217,'Area Breakdown'!$B$1:$C$33,2,)</f>
        <v>October</v>
      </c>
      <c r="C1217" s="2">
        <v>44339</v>
      </c>
      <c r="D1217" s="3">
        <v>344.40000000000003</v>
      </c>
    </row>
    <row r="1218" spans="1:4" ht="14.7" thickBot="1" x14ac:dyDescent="0.6">
      <c r="A1218" s="1" t="s">
        <v>17</v>
      </c>
      <c r="B1218" t="str">
        <f>VLOOKUP(A1218,'Area Breakdown'!$B$1:$C$33,2,)</f>
        <v>Heliopolis</v>
      </c>
      <c r="C1218" s="2">
        <v>44339</v>
      </c>
      <c r="D1218" s="3">
        <v>330.40000000000003</v>
      </c>
    </row>
    <row r="1219" spans="1:4" ht="14.7" thickBot="1" x14ac:dyDescent="0.6">
      <c r="A1219" s="1" t="s">
        <v>6</v>
      </c>
      <c r="B1219" t="str">
        <f>VLOOKUP(A1219,'Area Breakdown'!$B$1:$C$33,2,)</f>
        <v xml:space="preserve">Alexandria </v>
      </c>
      <c r="C1219" s="2">
        <v>44339</v>
      </c>
      <c r="D1219" s="3">
        <v>303.60000000000002</v>
      </c>
    </row>
    <row r="1220" spans="1:4" ht="14.7" thickBot="1" x14ac:dyDescent="0.6">
      <c r="A1220" s="1" t="s">
        <v>23</v>
      </c>
      <c r="B1220" t="str">
        <f>VLOOKUP(A1220,'Area Breakdown'!$B$1:$C$33,2,)</f>
        <v>Heliopolis</v>
      </c>
      <c r="C1220" s="2">
        <v>44339</v>
      </c>
      <c r="D1220" s="3">
        <v>294.40000000000003</v>
      </c>
    </row>
    <row r="1221" spans="1:4" ht="14.7" thickBot="1" x14ac:dyDescent="0.6">
      <c r="A1221" s="1" t="s">
        <v>12</v>
      </c>
      <c r="B1221" t="str">
        <f>VLOOKUP(A1221,'Area Breakdown'!$B$1:$C$33,2,)</f>
        <v>New Cairo</v>
      </c>
      <c r="C1221" s="2">
        <v>44340</v>
      </c>
      <c r="D1221" s="3">
        <v>1546.8000000000002</v>
      </c>
    </row>
    <row r="1222" spans="1:4" ht="14.7" thickBot="1" x14ac:dyDescent="0.6">
      <c r="A1222" s="1" t="s">
        <v>0</v>
      </c>
      <c r="B1222" t="str">
        <f>VLOOKUP(A1222,'Area Breakdown'!$B$1:$C$33,2,)</f>
        <v>Downtown</v>
      </c>
      <c r="C1222" s="2">
        <v>44340</v>
      </c>
      <c r="D1222" s="3">
        <v>1444</v>
      </c>
    </row>
    <row r="1223" spans="1:4" ht="14.7" thickBot="1" x14ac:dyDescent="0.6">
      <c r="A1223" s="1" t="s">
        <v>20</v>
      </c>
      <c r="B1223" t="str">
        <f>VLOOKUP(A1223,'Area Breakdown'!$B$1:$C$33,2,)</f>
        <v>Downtown</v>
      </c>
      <c r="C1223" s="2">
        <v>44340</v>
      </c>
      <c r="D1223" s="3">
        <v>1111.6000000000001</v>
      </c>
    </row>
    <row r="1224" spans="1:4" ht="14.7" thickBot="1" x14ac:dyDescent="0.6">
      <c r="A1224" s="1" t="s">
        <v>21</v>
      </c>
      <c r="B1224" t="str">
        <f>VLOOKUP(A1224,'Area Breakdown'!$B$1:$C$33,2,)</f>
        <v>Heliopolis</v>
      </c>
      <c r="C1224" s="2">
        <v>44340</v>
      </c>
      <c r="D1224" s="3">
        <v>1079.2</v>
      </c>
    </row>
    <row r="1225" spans="1:4" ht="14.7" thickBot="1" x14ac:dyDescent="0.6">
      <c r="A1225" s="1" t="s">
        <v>22</v>
      </c>
      <c r="B1225" t="str">
        <f>VLOOKUP(A1225,'Area Breakdown'!$B$1:$C$33,2,)</f>
        <v>Heliopolis</v>
      </c>
      <c r="C1225" s="2">
        <v>44340</v>
      </c>
      <c r="D1225" s="3">
        <v>918.40000000000009</v>
      </c>
    </row>
    <row r="1226" spans="1:4" ht="14.7" thickBot="1" x14ac:dyDescent="0.6">
      <c r="A1226" s="1" t="s">
        <v>13</v>
      </c>
      <c r="B1226" t="str">
        <f>VLOOKUP(A1226,'Area Breakdown'!$B$1:$C$33,2,)</f>
        <v>Heliopolis</v>
      </c>
      <c r="C1226" s="2">
        <v>44340</v>
      </c>
      <c r="D1226" s="3">
        <v>875.2</v>
      </c>
    </row>
    <row r="1227" spans="1:4" ht="14.7" thickBot="1" x14ac:dyDescent="0.6">
      <c r="A1227" s="1" t="s">
        <v>2</v>
      </c>
      <c r="B1227" t="str">
        <f>VLOOKUP(A1227,'Area Breakdown'!$B$1:$C$33,2,)</f>
        <v>Downtown</v>
      </c>
      <c r="C1227" s="2">
        <v>44340</v>
      </c>
      <c r="D1227" s="3">
        <v>848.40000000000009</v>
      </c>
    </row>
    <row r="1228" spans="1:4" ht="14.7" thickBot="1" x14ac:dyDescent="0.6">
      <c r="A1228" s="1" t="s">
        <v>19</v>
      </c>
      <c r="B1228" t="str">
        <f>VLOOKUP(A1228,'Area Breakdown'!$B$1:$C$33,2,)</f>
        <v>Downtown</v>
      </c>
      <c r="C1228" s="2">
        <v>44340</v>
      </c>
      <c r="D1228" s="3">
        <v>844</v>
      </c>
    </row>
    <row r="1229" spans="1:4" ht="14.7" thickBot="1" x14ac:dyDescent="0.6">
      <c r="A1229" s="1" t="s">
        <v>16</v>
      </c>
      <c r="B1229" t="str">
        <f>VLOOKUP(A1229,'Area Breakdown'!$B$1:$C$33,2,)</f>
        <v>Downtown</v>
      </c>
      <c r="C1229" s="2">
        <v>44340</v>
      </c>
      <c r="D1229" s="3">
        <v>770</v>
      </c>
    </row>
    <row r="1230" spans="1:4" ht="14.7" thickBot="1" x14ac:dyDescent="0.6">
      <c r="A1230" s="1" t="s">
        <v>9</v>
      </c>
      <c r="B1230" t="str">
        <f>VLOOKUP(A1230,'Area Breakdown'!$B$1:$C$33,2,)</f>
        <v xml:space="preserve">Alexandria </v>
      </c>
      <c r="C1230" s="2">
        <v>44340</v>
      </c>
      <c r="D1230" s="3">
        <v>698.80000000000007</v>
      </c>
    </row>
    <row r="1231" spans="1:4" ht="14.7" thickBot="1" x14ac:dyDescent="0.6">
      <c r="A1231" s="1" t="s">
        <v>8</v>
      </c>
      <c r="B1231" t="str">
        <f>VLOOKUP(A1231,'Area Breakdown'!$B$1:$C$33,2,)</f>
        <v>Heliopolis</v>
      </c>
      <c r="C1231" s="2">
        <v>44340</v>
      </c>
      <c r="D1231" s="3">
        <v>671.2</v>
      </c>
    </row>
    <row r="1232" spans="1:4" ht="14.7" thickBot="1" x14ac:dyDescent="0.6">
      <c r="A1232" s="1" t="s">
        <v>17</v>
      </c>
      <c r="B1232" t="str">
        <f>VLOOKUP(A1232,'Area Breakdown'!$B$1:$C$33,2,)</f>
        <v>Heliopolis</v>
      </c>
      <c r="C1232" s="2">
        <v>44340</v>
      </c>
      <c r="D1232" s="3">
        <v>665.2</v>
      </c>
    </row>
    <row r="1233" spans="1:4" ht="14.7" thickBot="1" x14ac:dyDescent="0.6">
      <c r="A1233" s="1" t="s">
        <v>25</v>
      </c>
      <c r="B1233" t="str">
        <f>VLOOKUP(A1233,'Area Breakdown'!$B$1:$C$33,2,)</f>
        <v>October</v>
      </c>
      <c r="C1233" s="2">
        <v>44340</v>
      </c>
      <c r="D1233" s="3">
        <v>618</v>
      </c>
    </row>
    <row r="1234" spans="1:4" ht="14.7" thickBot="1" x14ac:dyDescent="0.6">
      <c r="A1234" s="1" t="s">
        <v>11</v>
      </c>
      <c r="B1234" t="str">
        <f>VLOOKUP(A1234,'Area Breakdown'!$B$1:$C$33,2,)</f>
        <v>New Cairo</v>
      </c>
      <c r="C1234" s="2">
        <v>44340</v>
      </c>
      <c r="D1234" s="3">
        <v>576</v>
      </c>
    </row>
    <row r="1235" spans="1:4" ht="14.7" thickBot="1" x14ac:dyDescent="0.6">
      <c r="A1235" s="1" t="s">
        <v>3</v>
      </c>
      <c r="B1235" t="str">
        <f>VLOOKUP(A1235,'Area Breakdown'!$B$1:$C$33,2,)</f>
        <v>Downtown</v>
      </c>
      <c r="C1235" s="2">
        <v>44340</v>
      </c>
      <c r="D1235" s="3">
        <v>557.6</v>
      </c>
    </row>
    <row r="1236" spans="1:4" ht="14.7" thickBot="1" x14ac:dyDescent="0.6">
      <c r="A1236" s="1" t="s">
        <v>1</v>
      </c>
      <c r="B1236" t="str">
        <f>VLOOKUP(A1236,'Area Breakdown'!$B$1:$C$33,2,)</f>
        <v>Downtown</v>
      </c>
      <c r="C1236" s="2">
        <v>44340</v>
      </c>
      <c r="D1236" s="3">
        <v>492.40000000000003</v>
      </c>
    </row>
    <row r="1237" spans="1:4" ht="14.7" thickBot="1" x14ac:dyDescent="0.6">
      <c r="A1237" s="1" t="s">
        <v>27</v>
      </c>
      <c r="B1237" t="str">
        <f>VLOOKUP(A1237,'Area Breakdown'!$B$1:$C$33,2,)</f>
        <v xml:space="preserve">Alexandria </v>
      </c>
      <c r="C1237" s="2">
        <v>44340</v>
      </c>
      <c r="D1237" s="3">
        <v>491.6</v>
      </c>
    </row>
    <row r="1238" spans="1:4" ht="14.7" thickBot="1" x14ac:dyDescent="0.6">
      <c r="A1238" s="1" t="s">
        <v>10</v>
      </c>
      <c r="B1238" t="str">
        <f>VLOOKUP(A1238,'Area Breakdown'!$B$1:$C$33,2,)</f>
        <v xml:space="preserve">Alexandria </v>
      </c>
      <c r="C1238" s="2">
        <v>44340</v>
      </c>
      <c r="D1238" s="3">
        <v>472.40000000000003</v>
      </c>
    </row>
    <row r="1239" spans="1:4" ht="14.7" thickBot="1" x14ac:dyDescent="0.6">
      <c r="A1239" s="1" t="s">
        <v>23</v>
      </c>
      <c r="B1239" t="str">
        <f>VLOOKUP(A1239,'Area Breakdown'!$B$1:$C$33,2,)</f>
        <v>Heliopolis</v>
      </c>
      <c r="C1239" s="2">
        <v>44340</v>
      </c>
      <c r="D1239" s="3">
        <v>372.8</v>
      </c>
    </row>
    <row r="1240" spans="1:4" ht="14.7" thickBot="1" x14ac:dyDescent="0.6">
      <c r="A1240" s="1" t="s">
        <v>15</v>
      </c>
      <c r="B1240" t="str">
        <f>VLOOKUP(A1240,'Area Breakdown'!$B$1:$C$33,2,)</f>
        <v>Heliopolis</v>
      </c>
      <c r="C1240" s="2">
        <v>44340</v>
      </c>
      <c r="D1240" s="3">
        <v>338</v>
      </c>
    </row>
    <row r="1241" spans="1:4" ht="14.7" thickBot="1" x14ac:dyDescent="0.6">
      <c r="A1241" s="1" t="s">
        <v>4</v>
      </c>
      <c r="B1241" t="str">
        <f>VLOOKUP(A1241,'Area Breakdown'!$B$1:$C$33,2,)</f>
        <v>Downtown</v>
      </c>
      <c r="C1241" s="2">
        <v>44340</v>
      </c>
      <c r="D1241" s="3">
        <v>328.40000000000003</v>
      </c>
    </row>
    <row r="1242" spans="1:4" ht="14.7" thickBot="1" x14ac:dyDescent="0.6">
      <c r="A1242" s="1" t="s">
        <v>6</v>
      </c>
      <c r="B1242" t="str">
        <f>VLOOKUP(A1242,'Area Breakdown'!$B$1:$C$33,2,)</f>
        <v xml:space="preserve">Alexandria </v>
      </c>
      <c r="C1242" s="2">
        <v>44340</v>
      </c>
      <c r="D1242" s="3">
        <v>219.20000000000002</v>
      </c>
    </row>
    <row r="1243" spans="1:4" ht="14.7" thickBot="1" x14ac:dyDescent="0.6">
      <c r="A1243" s="1" t="s">
        <v>7</v>
      </c>
      <c r="B1243" t="str">
        <f>VLOOKUP(A1243,'Area Breakdown'!$B$1:$C$33,2,)</f>
        <v>October</v>
      </c>
      <c r="C1243" s="2">
        <v>44340</v>
      </c>
      <c r="D1243" s="3">
        <v>58.400000000000006</v>
      </c>
    </row>
    <row r="1244" spans="1:4" ht="14.7" thickBot="1" x14ac:dyDescent="0.6">
      <c r="A1244" s="1" t="s">
        <v>24</v>
      </c>
      <c r="B1244" t="str">
        <f>VLOOKUP(A1244,'Area Breakdown'!$B$1:$C$33,2,)</f>
        <v>October</v>
      </c>
      <c r="C1244" s="2">
        <v>44340</v>
      </c>
      <c r="D1244" s="3">
        <v>1291.2</v>
      </c>
    </row>
    <row r="1245" spans="1:4" ht="14.7" thickBot="1" x14ac:dyDescent="0.6">
      <c r="A1245" s="1" t="s">
        <v>19</v>
      </c>
      <c r="B1245" t="str">
        <f>VLOOKUP(A1245,'Area Breakdown'!$B$1:$C$33,2,)</f>
        <v>Downtown</v>
      </c>
      <c r="C1245" s="2">
        <v>44341</v>
      </c>
      <c r="D1245" s="3">
        <v>1202.4000000000001</v>
      </c>
    </row>
    <row r="1246" spans="1:4" ht="14.7" thickBot="1" x14ac:dyDescent="0.6">
      <c r="A1246" s="1" t="s">
        <v>22</v>
      </c>
      <c r="B1246" t="str">
        <f>VLOOKUP(A1246,'Area Breakdown'!$B$1:$C$33,2,)</f>
        <v>Heliopolis</v>
      </c>
      <c r="C1246" s="2">
        <v>44341</v>
      </c>
      <c r="D1246" s="3">
        <v>1104.8</v>
      </c>
    </row>
    <row r="1247" spans="1:4" ht="14.7" thickBot="1" x14ac:dyDescent="0.6">
      <c r="A1247" s="1" t="s">
        <v>16</v>
      </c>
      <c r="B1247" t="str">
        <f>VLOOKUP(A1247,'Area Breakdown'!$B$1:$C$33,2,)</f>
        <v>Downtown</v>
      </c>
      <c r="C1247" s="2">
        <v>44341</v>
      </c>
      <c r="D1247" s="3">
        <v>1066.4000000000001</v>
      </c>
    </row>
    <row r="1248" spans="1:4" ht="14.7" thickBot="1" x14ac:dyDescent="0.6">
      <c r="A1248" s="1" t="s">
        <v>24</v>
      </c>
      <c r="B1248" t="str">
        <f>VLOOKUP(A1248,'Area Breakdown'!$B$1:$C$33,2,)</f>
        <v>October</v>
      </c>
      <c r="C1248" s="2">
        <v>44341</v>
      </c>
      <c r="D1248" s="3">
        <v>1055.6000000000001</v>
      </c>
    </row>
    <row r="1249" spans="1:4" ht="14.7" thickBot="1" x14ac:dyDescent="0.6">
      <c r="A1249" s="1" t="s">
        <v>20</v>
      </c>
      <c r="B1249" t="str">
        <f>VLOOKUP(A1249,'Area Breakdown'!$B$1:$C$33,2,)</f>
        <v>Downtown</v>
      </c>
      <c r="C1249" s="2">
        <v>44341</v>
      </c>
      <c r="D1249" s="3">
        <v>1031.6000000000001</v>
      </c>
    </row>
    <row r="1250" spans="1:4" ht="14.7" thickBot="1" x14ac:dyDescent="0.6">
      <c r="A1250" s="1" t="s">
        <v>27</v>
      </c>
      <c r="B1250" t="str">
        <f>VLOOKUP(A1250,'Area Breakdown'!$B$1:$C$33,2,)</f>
        <v xml:space="preserve">Alexandria </v>
      </c>
      <c r="C1250" s="2">
        <v>44341</v>
      </c>
      <c r="D1250" s="3">
        <v>1030.4000000000001</v>
      </c>
    </row>
    <row r="1251" spans="1:4" ht="14.7" thickBot="1" x14ac:dyDescent="0.6">
      <c r="A1251" s="1" t="s">
        <v>3</v>
      </c>
      <c r="B1251" t="str">
        <f>VLOOKUP(A1251,'Area Breakdown'!$B$1:$C$33,2,)</f>
        <v>Downtown</v>
      </c>
      <c r="C1251" s="2">
        <v>44341</v>
      </c>
      <c r="D1251" s="3">
        <v>872.80000000000007</v>
      </c>
    </row>
    <row r="1252" spans="1:4" ht="14.7" thickBot="1" x14ac:dyDescent="0.6">
      <c r="A1252" s="1" t="s">
        <v>25</v>
      </c>
      <c r="B1252" t="str">
        <f>VLOOKUP(A1252,'Area Breakdown'!$B$1:$C$33,2,)</f>
        <v>October</v>
      </c>
      <c r="C1252" s="2">
        <v>44341</v>
      </c>
      <c r="D1252" s="3">
        <v>850.80000000000007</v>
      </c>
    </row>
    <row r="1253" spans="1:4" ht="14.7" thickBot="1" x14ac:dyDescent="0.6">
      <c r="A1253" s="1" t="s">
        <v>10</v>
      </c>
      <c r="B1253" t="str">
        <f>VLOOKUP(A1253,'Area Breakdown'!$B$1:$C$33,2,)</f>
        <v xml:space="preserve">Alexandria </v>
      </c>
      <c r="C1253" s="2">
        <v>44341</v>
      </c>
      <c r="D1253" s="3">
        <v>850</v>
      </c>
    </row>
    <row r="1254" spans="1:4" ht="14.7" thickBot="1" x14ac:dyDescent="0.6">
      <c r="A1254" s="1" t="s">
        <v>9</v>
      </c>
      <c r="B1254" t="str">
        <f>VLOOKUP(A1254,'Area Breakdown'!$B$1:$C$33,2,)</f>
        <v xml:space="preserve">Alexandria </v>
      </c>
      <c r="C1254" s="2">
        <v>44341</v>
      </c>
      <c r="D1254" s="3">
        <v>730</v>
      </c>
    </row>
    <row r="1255" spans="1:4" ht="14.7" thickBot="1" x14ac:dyDescent="0.6">
      <c r="A1255" s="1" t="s">
        <v>2</v>
      </c>
      <c r="B1255" t="str">
        <f>VLOOKUP(A1255,'Area Breakdown'!$B$1:$C$33,2,)</f>
        <v>Downtown</v>
      </c>
      <c r="C1255" s="2">
        <v>44341</v>
      </c>
      <c r="D1255" s="3">
        <v>704.40000000000009</v>
      </c>
    </row>
    <row r="1256" spans="1:4" ht="14.7" thickBot="1" x14ac:dyDescent="0.6">
      <c r="A1256" s="1" t="s">
        <v>13</v>
      </c>
      <c r="B1256" t="str">
        <f>VLOOKUP(A1256,'Area Breakdown'!$B$1:$C$33,2,)</f>
        <v>Heliopolis</v>
      </c>
      <c r="C1256" s="2">
        <v>44341</v>
      </c>
      <c r="D1256" s="3">
        <v>677.2</v>
      </c>
    </row>
    <row r="1257" spans="1:4" ht="14.7" thickBot="1" x14ac:dyDescent="0.6">
      <c r="A1257" s="1" t="s">
        <v>17</v>
      </c>
      <c r="B1257" t="str">
        <f>VLOOKUP(A1257,'Area Breakdown'!$B$1:$C$33,2,)</f>
        <v>Heliopolis</v>
      </c>
      <c r="C1257" s="2">
        <v>44341</v>
      </c>
      <c r="D1257" s="3">
        <v>675.2</v>
      </c>
    </row>
    <row r="1258" spans="1:4" ht="14.7" thickBot="1" x14ac:dyDescent="0.6">
      <c r="A1258" s="1" t="s">
        <v>1</v>
      </c>
      <c r="B1258" t="str">
        <f>VLOOKUP(A1258,'Area Breakdown'!$B$1:$C$33,2,)</f>
        <v>Downtown</v>
      </c>
      <c r="C1258" s="2">
        <v>44341</v>
      </c>
      <c r="D1258" s="3">
        <v>636.80000000000007</v>
      </c>
    </row>
    <row r="1259" spans="1:4" ht="14.7" thickBot="1" x14ac:dyDescent="0.6">
      <c r="A1259" s="1" t="s">
        <v>11</v>
      </c>
      <c r="B1259" t="str">
        <f>VLOOKUP(A1259,'Area Breakdown'!$B$1:$C$33,2,)</f>
        <v>New Cairo</v>
      </c>
      <c r="C1259" s="2">
        <v>44341</v>
      </c>
      <c r="D1259" s="3">
        <v>589.20000000000005</v>
      </c>
    </row>
    <row r="1260" spans="1:4" ht="14.7" thickBot="1" x14ac:dyDescent="0.6">
      <c r="A1260" s="1" t="s">
        <v>23</v>
      </c>
      <c r="B1260" t="str">
        <f>VLOOKUP(A1260,'Area Breakdown'!$B$1:$C$33,2,)</f>
        <v>Heliopolis</v>
      </c>
      <c r="C1260" s="2">
        <v>44341</v>
      </c>
      <c r="D1260" s="3">
        <v>460.8</v>
      </c>
    </row>
    <row r="1261" spans="1:4" ht="14.7" thickBot="1" x14ac:dyDescent="0.6">
      <c r="A1261" s="1" t="s">
        <v>15</v>
      </c>
      <c r="B1261" t="str">
        <f>VLOOKUP(A1261,'Area Breakdown'!$B$1:$C$33,2,)</f>
        <v>Heliopolis</v>
      </c>
      <c r="C1261" s="2">
        <v>44341</v>
      </c>
      <c r="D1261" s="3">
        <v>434.8</v>
      </c>
    </row>
    <row r="1262" spans="1:4" ht="14.7" thickBot="1" x14ac:dyDescent="0.6">
      <c r="A1262" s="1" t="s">
        <v>4</v>
      </c>
      <c r="B1262" t="str">
        <f>VLOOKUP(A1262,'Area Breakdown'!$B$1:$C$33,2,)</f>
        <v>Downtown</v>
      </c>
      <c r="C1262" s="2">
        <v>44341</v>
      </c>
      <c r="D1262" s="3">
        <v>429.6</v>
      </c>
    </row>
    <row r="1263" spans="1:4" ht="14.7" thickBot="1" x14ac:dyDescent="0.6">
      <c r="A1263" s="1" t="s">
        <v>8</v>
      </c>
      <c r="B1263" t="str">
        <f>VLOOKUP(A1263,'Area Breakdown'!$B$1:$C$33,2,)</f>
        <v>Heliopolis</v>
      </c>
      <c r="C1263" s="2">
        <v>44341</v>
      </c>
      <c r="D1263" s="3">
        <v>424</v>
      </c>
    </row>
    <row r="1264" spans="1:4" ht="14.7" thickBot="1" x14ac:dyDescent="0.6">
      <c r="A1264" s="1" t="s">
        <v>6</v>
      </c>
      <c r="B1264" t="str">
        <f>VLOOKUP(A1264,'Area Breakdown'!$B$1:$C$33,2,)</f>
        <v xml:space="preserve">Alexandria </v>
      </c>
      <c r="C1264" s="2">
        <v>44341</v>
      </c>
      <c r="D1264" s="3">
        <v>401.6</v>
      </c>
    </row>
    <row r="1265" spans="1:4" ht="14.7" thickBot="1" x14ac:dyDescent="0.6">
      <c r="A1265" s="1" t="s">
        <v>7</v>
      </c>
      <c r="B1265" t="str">
        <f>VLOOKUP(A1265,'Area Breakdown'!$B$1:$C$33,2,)</f>
        <v>October</v>
      </c>
      <c r="C1265" s="2">
        <v>44341</v>
      </c>
      <c r="D1265" s="3">
        <v>193.20000000000002</v>
      </c>
    </row>
    <row r="1266" spans="1:4" ht="14.7" thickBot="1" x14ac:dyDescent="0.6">
      <c r="A1266" s="1" t="s">
        <v>0</v>
      </c>
      <c r="B1266" t="str">
        <f>VLOOKUP(A1266,'Area Breakdown'!$B$1:$C$33,2,)</f>
        <v>Downtown</v>
      </c>
      <c r="C1266" s="2">
        <v>44341</v>
      </c>
      <c r="D1266" s="3">
        <v>1326.4</v>
      </c>
    </row>
    <row r="1267" spans="1:4" ht="14.7" thickBot="1" x14ac:dyDescent="0.6">
      <c r="A1267" s="1" t="s">
        <v>21</v>
      </c>
      <c r="B1267" t="str">
        <f>VLOOKUP(A1267,'Area Breakdown'!$B$1:$C$33,2,)</f>
        <v>Heliopolis</v>
      </c>
      <c r="C1267" s="2">
        <v>44341</v>
      </c>
      <c r="D1267" s="3">
        <v>1312</v>
      </c>
    </row>
    <row r="1268" spans="1:4" ht="14.7" thickBot="1" x14ac:dyDescent="0.6">
      <c r="A1268" s="1" t="s">
        <v>12</v>
      </c>
      <c r="B1268" t="str">
        <f>VLOOKUP(A1268,'Area Breakdown'!$B$1:$C$33,2,)</f>
        <v>New Cairo</v>
      </c>
      <c r="C1268" s="2">
        <v>44341</v>
      </c>
      <c r="D1268" s="3">
        <v>1672.4</v>
      </c>
    </row>
    <row r="1269" spans="1:4" ht="14.7" thickBot="1" x14ac:dyDescent="0.6">
      <c r="A1269" s="1" t="s">
        <v>21</v>
      </c>
      <c r="B1269" t="str">
        <f>VLOOKUP(A1269,'Area Breakdown'!$B$1:$C$33,2,)</f>
        <v>Heliopolis</v>
      </c>
      <c r="C1269" s="2">
        <v>44342</v>
      </c>
      <c r="D1269" s="3">
        <v>1608.4</v>
      </c>
    </row>
    <row r="1270" spans="1:4" ht="14.7" thickBot="1" x14ac:dyDescent="0.6">
      <c r="A1270" s="1" t="s">
        <v>0</v>
      </c>
      <c r="B1270" t="str">
        <f>VLOOKUP(A1270,'Area Breakdown'!$B$1:$C$33,2,)</f>
        <v>Downtown</v>
      </c>
      <c r="C1270" s="2">
        <v>44342</v>
      </c>
      <c r="D1270" s="3">
        <v>1532.8000000000002</v>
      </c>
    </row>
    <row r="1271" spans="1:4" ht="14.7" thickBot="1" x14ac:dyDescent="0.6">
      <c r="A1271" s="1" t="s">
        <v>22</v>
      </c>
      <c r="B1271" t="str">
        <f>VLOOKUP(A1271,'Area Breakdown'!$B$1:$C$33,2,)</f>
        <v>Heliopolis</v>
      </c>
      <c r="C1271" s="2">
        <v>44342</v>
      </c>
      <c r="D1271" s="3">
        <v>1251.6000000000001</v>
      </c>
    </row>
    <row r="1272" spans="1:4" ht="14.7" thickBot="1" x14ac:dyDescent="0.6">
      <c r="A1272" s="1" t="s">
        <v>2</v>
      </c>
      <c r="B1272" t="str">
        <f>VLOOKUP(A1272,'Area Breakdown'!$B$1:$C$33,2,)</f>
        <v>Downtown</v>
      </c>
      <c r="C1272" s="2">
        <v>44342</v>
      </c>
      <c r="D1272" s="3">
        <v>1240.8000000000002</v>
      </c>
    </row>
    <row r="1273" spans="1:4" ht="14.7" thickBot="1" x14ac:dyDescent="0.6">
      <c r="A1273" s="1" t="s">
        <v>16</v>
      </c>
      <c r="B1273" t="str">
        <f>VLOOKUP(A1273,'Area Breakdown'!$B$1:$C$33,2,)</f>
        <v>Downtown</v>
      </c>
      <c r="C1273" s="2">
        <v>44342</v>
      </c>
      <c r="D1273" s="3">
        <v>1087.2</v>
      </c>
    </row>
    <row r="1274" spans="1:4" ht="14.7" thickBot="1" x14ac:dyDescent="0.6">
      <c r="A1274" s="1" t="s">
        <v>11</v>
      </c>
      <c r="B1274" t="str">
        <f>VLOOKUP(A1274,'Area Breakdown'!$B$1:$C$33,2,)</f>
        <v>New Cairo</v>
      </c>
      <c r="C1274" s="2">
        <v>44342</v>
      </c>
      <c r="D1274" s="3">
        <v>1004.4000000000001</v>
      </c>
    </row>
    <row r="1275" spans="1:4" ht="14.7" thickBot="1" x14ac:dyDescent="0.6">
      <c r="A1275" s="1" t="s">
        <v>19</v>
      </c>
      <c r="B1275" t="str">
        <f>VLOOKUP(A1275,'Area Breakdown'!$B$1:$C$33,2,)</f>
        <v>Downtown</v>
      </c>
      <c r="C1275" s="2">
        <v>44342</v>
      </c>
      <c r="D1275" s="3">
        <v>1002</v>
      </c>
    </row>
    <row r="1276" spans="1:4" ht="14.7" thickBot="1" x14ac:dyDescent="0.6">
      <c r="A1276" s="1" t="s">
        <v>24</v>
      </c>
      <c r="B1276" t="str">
        <f>VLOOKUP(A1276,'Area Breakdown'!$B$1:$C$33,2,)</f>
        <v>October</v>
      </c>
      <c r="C1276" s="2">
        <v>44342</v>
      </c>
      <c r="D1276" s="3">
        <v>902.80000000000007</v>
      </c>
    </row>
    <row r="1277" spans="1:4" ht="14.7" thickBot="1" x14ac:dyDescent="0.6">
      <c r="A1277" s="1" t="s">
        <v>1</v>
      </c>
      <c r="B1277" t="str">
        <f>VLOOKUP(A1277,'Area Breakdown'!$B$1:$C$33,2,)</f>
        <v>Downtown</v>
      </c>
      <c r="C1277" s="2">
        <v>44342</v>
      </c>
      <c r="D1277" s="3">
        <v>890.40000000000009</v>
      </c>
    </row>
    <row r="1278" spans="1:4" ht="14.7" thickBot="1" x14ac:dyDescent="0.6">
      <c r="A1278" s="1" t="s">
        <v>25</v>
      </c>
      <c r="B1278" t="str">
        <f>VLOOKUP(A1278,'Area Breakdown'!$B$1:$C$33,2,)</f>
        <v>October</v>
      </c>
      <c r="C1278" s="2">
        <v>44342</v>
      </c>
      <c r="D1278" s="3">
        <v>887.6</v>
      </c>
    </row>
    <row r="1279" spans="1:4" ht="14.7" thickBot="1" x14ac:dyDescent="0.6">
      <c r="A1279" s="1" t="s">
        <v>17</v>
      </c>
      <c r="B1279" t="str">
        <f>VLOOKUP(A1279,'Area Breakdown'!$B$1:$C$33,2,)</f>
        <v>Heliopolis</v>
      </c>
      <c r="C1279" s="2">
        <v>44342</v>
      </c>
      <c r="D1279" s="3">
        <v>873.2</v>
      </c>
    </row>
    <row r="1280" spans="1:4" ht="14.7" thickBot="1" x14ac:dyDescent="0.6">
      <c r="A1280" s="1" t="s">
        <v>27</v>
      </c>
      <c r="B1280" t="str">
        <f>VLOOKUP(A1280,'Area Breakdown'!$B$1:$C$33,2,)</f>
        <v xml:space="preserve">Alexandria </v>
      </c>
      <c r="C1280" s="2">
        <v>44342</v>
      </c>
      <c r="D1280" s="3">
        <v>854.80000000000007</v>
      </c>
    </row>
    <row r="1281" spans="1:4" ht="14.7" thickBot="1" x14ac:dyDescent="0.6">
      <c r="A1281" s="1" t="s">
        <v>20</v>
      </c>
      <c r="B1281" t="str">
        <f>VLOOKUP(A1281,'Area Breakdown'!$B$1:$C$33,2,)</f>
        <v>Downtown</v>
      </c>
      <c r="C1281" s="2">
        <v>44342</v>
      </c>
      <c r="D1281" s="3">
        <v>853.6</v>
      </c>
    </row>
    <row r="1282" spans="1:4" ht="14.7" thickBot="1" x14ac:dyDescent="0.6">
      <c r="A1282" s="1" t="s">
        <v>3</v>
      </c>
      <c r="B1282" t="str">
        <f>VLOOKUP(A1282,'Area Breakdown'!$B$1:$C$33,2,)</f>
        <v>Downtown</v>
      </c>
      <c r="C1282" s="2">
        <v>44342</v>
      </c>
      <c r="D1282" s="3">
        <v>816.40000000000009</v>
      </c>
    </row>
    <row r="1283" spans="1:4" ht="14.7" thickBot="1" x14ac:dyDescent="0.6">
      <c r="A1283" s="1" t="s">
        <v>15</v>
      </c>
      <c r="B1283" t="str">
        <f>VLOOKUP(A1283,'Area Breakdown'!$B$1:$C$33,2,)</f>
        <v>Heliopolis</v>
      </c>
      <c r="C1283" s="2">
        <v>44342</v>
      </c>
      <c r="D1283" s="3">
        <v>644.40000000000009</v>
      </c>
    </row>
    <row r="1284" spans="1:4" ht="14.7" thickBot="1" x14ac:dyDescent="0.6">
      <c r="A1284" s="1" t="s">
        <v>9</v>
      </c>
      <c r="B1284" t="str">
        <f>VLOOKUP(A1284,'Area Breakdown'!$B$1:$C$33,2,)</f>
        <v xml:space="preserve">Alexandria </v>
      </c>
      <c r="C1284" s="2">
        <v>44342</v>
      </c>
      <c r="D1284" s="3">
        <v>610</v>
      </c>
    </row>
    <row r="1285" spans="1:4" ht="14.7" thickBot="1" x14ac:dyDescent="0.6">
      <c r="A1285" s="1" t="s">
        <v>4</v>
      </c>
      <c r="B1285" t="str">
        <f>VLOOKUP(A1285,'Area Breakdown'!$B$1:$C$33,2,)</f>
        <v>Downtown</v>
      </c>
      <c r="C1285" s="2">
        <v>44342</v>
      </c>
      <c r="D1285" s="3">
        <v>585.6</v>
      </c>
    </row>
    <row r="1286" spans="1:4" ht="14.7" thickBot="1" x14ac:dyDescent="0.6">
      <c r="A1286" s="1" t="s">
        <v>10</v>
      </c>
      <c r="B1286" t="str">
        <f>VLOOKUP(A1286,'Area Breakdown'!$B$1:$C$33,2,)</f>
        <v xml:space="preserve">Alexandria </v>
      </c>
      <c r="C1286" s="2">
        <v>44342</v>
      </c>
      <c r="D1286" s="3">
        <v>546.80000000000007</v>
      </c>
    </row>
    <row r="1287" spans="1:4" ht="14.7" thickBot="1" x14ac:dyDescent="0.6">
      <c r="A1287" s="1" t="s">
        <v>13</v>
      </c>
      <c r="B1287" t="str">
        <f>VLOOKUP(A1287,'Area Breakdown'!$B$1:$C$33,2,)</f>
        <v>Heliopolis</v>
      </c>
      <c r="C1287" s="2">
        <v>44342</v>
      </c>
      <c r="D1287" s="3">
        <v>517.20000000000005</v>
      </c>
    </row>
    <row r="1288" spans="1:4" ht="14.7" thickBot="1" x14ac:dyDescent="0.6">
      <c r="A1288" s="1" t="s">
        <v>8</v>
      </c>
      <c r="B1288" t="str">
        <f>VLOOKUP(A1288,'Area Breakdown'!$B$1:$C$33,2,)</f>
        <v>Heliopolis</v>
      </c>
      <c r="C1288" s="2">
        <v>44342</v>
      </c>
      <c r="D1288" s="3">
        <v>440.8</v>
      </c>
    </row>
    <row r="1289" spans="1:4" ht="14.7" thickBot="1" x14ac:dyDescent="0.6">
      <c r="A1289" s="1" t="s">
        <v>23</v>
      </c>
      <c r="B1289" t="str">
        <f>VLOOKUP(A1289,'Area Breakdown'!$B$1:$C$33,2,)</f>
        <v>Heliopolis</v>
      </c>
      <c r="C1289" s="2">
        <v>44342</v>
      </c>
      <c r="D1289" s="3">
        <v>380.8</v>
      </c>
    </row>
    <row r="1290" spans="1:4" ht="14.7" thickBot="1" x14ac:dyDescent="0.6">
      <c r="A1290" s="1" t="s">
        <v>7</v>
      </c>
      <c r="B1290" t="str">
        <f>VLOOKUP(A1290,'Area Breakdown'!$B$1:$C$33,2,)</f>
        <v>October</v>
      </c>
      <c r="C1290" s="2">
        <v>44342</v>
      </c>
      <c r="D1290" s="3">
        <v>273.60000000000002</v>
      </c>
    </row>
    <row r="1291" spans="1:4" ht="14.7" thickBot="1" x14ac:dyDescent="0.6">
      <c r="A1291" s="1" t="s">
        <v>6</v>
      </c>
      <c r="B1291" t="str">
        <f>VLOOKUP(A1291,'Area Breakdown'!$B$1:$C$33,2,)</f>
        <v xml:space="preserve">Alexandria </v>
      </c>
      <c r="C1291" s="2">
        <v>44342</v>
      </c>
      <c r="D1291" s="3">
        <v>230.8</v>
      </c>
    </row>
    <row r="1292" spans="1:4" ht="14.7" thickBot="1" x14ac:dyDescent="0.6">
      <c r="A1292" s="1" t="s">
        <v>3</v>
      </c>
      <c r="B1292" t="str">
        <f>VLOOKUP(A1292,'Area Breakdown'!$B$1:$C$33,2,)</f>
        <v>Downtown</v>
      </c>
      <c r="C1292" s="2">
        <v>44343</v>
      </c>
      <c r="D1292" s="3">
        <v>1540.8000000000002</v>
      </c>
    </row>
    <row r="1293" spans="1:4" ht="14.7" thickBot="1" x14ac:dyDescent="0.6">
      <c r="A1293" s="1" t="s">
        <v>9</v>
      </c>
      <c r="B1293" t="str">
        <f>VLOOKUP(A1293,'Area Breakdown'!$B$1:$C$33,2,)</f>
        <v xml:space="preserve">Alexandria </v>
      </c>
      <c r="C1293" s="2">
        <v>44343</v>
      </c>
      <c r="D1293" s="3">
        <v>1223.2</v>
      </c>
    </row>
    <row r="1294" spans="1:4" ht="14.7" thickBot="1" x14ac:dyDescent="0.6">
      <c r="A1294" s="1" t="s">
        <v>25</v>
      </c>
      <c r="B1294" t="str">
        <f>VLOOKUP(A1294,'Area Breakdown'!$B$1:$C$33,2,)</f>
        <v>October</v>
      </c>
      <c r="C1294" s="2">
        <v>44343</v>
      </c>
      <c r="D1294" s="3">
        <v>1197.6000000000001</v>
      </c>
    </row>
    <row r="1295" spans="1:4" ht="14.7" thickBot="1" x14ac:dyDescent="0.6">
      <c r="A1295" s="1" t="s">
        <v>20</v>
      </c>
      <c r="B1295" t="str">
        <f>VLOOKUP(A1295,'Area Breakdown'!$B$1:$C$33,2,)</f>
        <v>Downtown</v>
      </c>
      <c r="C1295" s="2">
        <v>44343</v>
      </c>
      <c r="D1295" s="3">
        <v>1139.2</v>
      </c>
    </row>
    <row r="1296" spans="1:4" ht="14.7" thickBot="1" x14ac:dyDescent="0.6">
      <c r="A1296" s="1" t="s">
        <v>11</v>
      </c>
      <c r="B1296" t="str">
        <f>VLOOKUP(A1296,'Area Breakdown'!$B$1:$C$33,2,)</f>
        <v>New Cairo</v>
      </c>
      <c r="C1296" s="2">
        <v>44343</v>
      </c>
      <c r="D1296" s="3">
        <v>938.80000000000007</v>
      </c>
    </row>
    <row r="1297" spans="1:4" ht="14.7" thickBot="1" x14ac:dyDescent="0.6">
      <c r="A1297" s="1" t="s">
        <v>1</v>
      </c>
      <c r="B1297" t="str">
        <f>VLOOKUP(A1297,'Area Breakdown'!$B$1:$C$33,2,)</f>
        <v>Downtown</v>
      </c>
      <c r="C1297" s="2">
        <v>44343</v>
      </c>
      <c r="D1297" s="3">
        <v>853.2</v>
      </c>
    </row>
    <row r="1298" spans="1:4" ht="14.7" thickBot="1" x14ac:dyDescent="0.6">
      <c r="A1298" s="1" t="s">
        <v>13</v>
      </c>
      <c r="B1298" t="str">
        <f>VLOOKUP(A1298,'Area Breakdown'!$B$1:$C$33,2,)</f>
        <v>Heliopolis</v>
      </c>
      <c r="C1298" s="2">
        <v>44343</v>
      </c>
      <c r="D1298" s="3">
        <v>840.40000000000009</v>
      </c>
    </row>
    <row r="1299" spans="1:4" ht="14.7" thickBot="1" x14ac:dyDescent="0.6">
      <c r="A1299" s="1" t="s">
        <v>24</v>
      </c>
      <c r="B1299" t="str">
        <f>VLOOKUP(A1299,'Area Breakdown'!$B$1:$C$33,2,)</f>
        <v>October</v>
      </c>
      <c r="C1299" s="2">
        <v>44343</v>
      </c>
      <c r="D1299" s="3">
        <v>839.6</v>
      </c>
    </row>
    <row r="1300" spans="1:4" ht="14.7" thickBot="1" x14ac:dyDescent="0.6">
      <c r="A1300" s="1" t="s">
        <v>2</v>
      </c>
      <c r="B1300" t="str">
        <f>VLOOKUP(A1300,'Area Breakdown'!$B$1:$C$33,2,)</f>
        <v>Downtown</v>
      </c>
      <c r="C1300" s="2">
        <v>44343</v>
      </c>
      <c r="D1300" s="3">
        <v>812</v>
      </c>
    </row>
    <row r="1301" spans="1:4" ht="14.7" thickBot="1" x14ac:dyDescent="0.6">
      <c r="A1301" s="1" t="s">
        <v>8</v>
      </c>
      <c r="B1301" t="str">
        <f>VLOOKUP(A1301,'Area Breakdown'!$B$1:$C$33,2,)</f>
        <v>Heliopolis</v>
      </c>
      <c r="C1301" s="2">
        <v>44343</v>
      </c>
      <c r="D1301" s="3">
        <v>763.2</v>
      </c>
    </row>
    <row r="1302" spans="1:4" ht="14.7" thickBot="1" x14ac:dyDescent="0.6">
      <c r="A1302" s="1" t="s">
        <v>27</v>
      </c>
      <c r="B1302" t="str">
        <f>VLOOKUP(A1302,'Area Breakdown'!$B$1:$C$33,2,)</f>
        <v xml:space="preserve">Alexandria </v>
      </c>
      <c r="C1302" s="2">
        <v>44343</v>
      </c>
      <c r="D1302" s="3">
        <v>656</v>
      </c>
    </row>
    <row r="1303" spans="1:4" ht="14.7" thickBot="1" x14ac:dyDescent="0.6">
      <c r="A1303" s="1" t="s">
        <v>10</v>
      </c>
      <c r="B1303" t="str">
        <f>VLOOKUP(A1303,'Area Breakdown'!$B$1:$C$33,2,)</f>
        <v xml:space="preserve">Alexandria </v>
      </c>
      <c r="C1303" s="2">
        <v>44343</v>
      </c>
      <c r="D1303" s="3">
        <v>548.80000000000007</v>
      </c>
    </row>
    <row r="1304" spans="1:4" ht="14.7" thickBot="1" x14ac:dyDescent="0.6">
      <c r="A1304" s="1" t="s">
        <v>17</v>
      </c>
      <c r="B1304" t="str">
        <f>VLOOKUP(A1304,'Area Breakdown'!$B$1:$C$33,2,)</f>
        <v>Heliopolis</v>
      </c>
      <c r="C1304" s="2">
        <v>44343</v>
      </c>
      <c r="D1304" s="3">
        <v>545.6</v>
      </c>
    </row>
    <row r="1305" spans="1:4" ht="14.7" thickBot="1" x14ac:dyDescent="0.6">
      <c r="A1305" s="1" t="s">
        <v>23</v>
      </c>
      <c r="B1305" t="str">
        <f>VLOOKUP(A1305,'Area Breakdown'!$B$1:$C$33,2,)</f>
        <v>Heliopolis</v>
      </c>
      <c r="C1305" s="2">
        <v>44343</v>
      </c>
      <c r="D1305" s="3">
        <v>455.6</v>
      </c>
    </row>
    <row r="1306" spans="1:4" ht="14.7" thickBot="1" x14ac:dyDescent="0.6">
      <c r="A1306" s="1" t="s">
        <v>6</v>
      </c>
      <c r="B1306" t="str">
        <f>VLOOKUP(A1306,'Area Breakdown'!$B$1:$C$33,2,)</f>
        <v xml:space="preserve">Alexandria </v>
      </c>
      <c r="C1306" s="2">
        <v>44343</v>
      </c>
      <c r="D1306" s="3">
        <v>426</v>
      </c>
    </row>
    <row r="1307" spans="1:4" ht="14.7" thickBot="1" x14ac:dyDescent="0.6">
      <c r="A1307" s="1" t="s">
        <v>15</v>
      </c>
      <c r="B1307" t="str">
        <f>VLOOKUP(A1307,'Area Breakdown'!$B$1:$C$33,2,)</f>
        <v>Heliopolis</v>
      </c>
      <c r="C1307" s="2">
        <v>44343</v>
      </c>
      <c r="D1307" s="3">
        <v>365.6</v>
      </c>
    </row>
    <row r="1308" spans="1:4" ht="14.7" thickBot="1" x14ac:dyDescent="0.6">
      <c r="A1308" s="1" t="s">
        <v>4</v>
      </c>
      <c r="B1308" t="str">
        <f>VLOOKUP(A1308,'Area Breakdown'!$B$1:$C$33,2,)</f>
        <v>Downtown</v>
      </c>
      <c r="C1308" s="2">
        <v>44343</v>
      </c>
      <c r="D1308" s="3">
        <v>296.40000000000003</v>
      </c>
    </row>
    <row r="1309" spans="1:4" ht="14.7" thickBot="1" x14ac:dyDescent="0.6">
      <c r="A1309" s="1" t="s">
        <v>7</v>
      </c>
      <c r="B1309" t="str">
        <f>VLOOKUP(A1309,'Area Breakdown'!$B$1:$C$33,2,)</f>
        <v>October</v>
      </c>
      <c r="C1309" s="2">
        <v>44343</v>
      </c>
      <c r="D1309" s="3">
        <v>121.2</v>
      </c>
    </row>
    <row r="1310" spans="1:4" ht="14.7" thickBot="1" x14ac:dyDescent="0.6">
      <c r="A1310" s="1" t="s">
        <v>0</v>
      </c>
      <c r="B1310" t="str">
        <f>VLOOKUP(A1310,'Area Breakdown'!$B$1:$C$33,2,)</f>
        <v>Downtown</v>
      </c>
      <c r="C1310" s="2">
        <v>44343</v>
      </c>
      <c r="D1310" s="3">
        <v>2292.8000000000002</v>
      </c>
    </row>
    <row r="1311" spans="1:4" ht="14.7" thickBot="1" x14ac:dyDescent="0.6">
      <c r="A1311" s="1" t="s">
        <v>12</v>
      </c>
      <c r="B1311" t="str">
        <f>VLOOKUP(A1311,'Area Breakdown'!$B$1:$C$33,2,)</f>
        <v>New Cairo</v>
      </c>
      <c r="C1311" s="2">
        <v>44343</v>
      </c>
      <c r="D1311" s="3">
        <v>2001.2</v>
      </c>
    </row>
    <row r="1312" spans="1:4" ht="14.7" thickBot="1" x14ac:dyDescent="0.6">
      <c r="A1312" s="1" t="s">
        <v>21</v>
      </c>
      <c r="B1312" t="str">
        <f>VLOOKUP(A1312,'Area Breakdown'!$B$1:$C$33,2,)</f>
        <v>Heliopolis</v>
      </c>
      <c r="C1312" s="2">
        <v>44343</v>
      </c>
      <c r="D1312" s="3">
        <v>1938.4</v>
      </c>
    </row>
    <row r="1313" spans="1:4" ht="14.7" thickBot="1" x14ac:dyDescent="0.6">
      <c r="A1313" s="1" t="s">
        <v>19</v>
      </c>
      <c r="B1313" t="str">
        <f>VLOOKUP(A1313,'Area Breakdown'!$B$1:$C$33,2,)</f>
        <v>Downtown</v>
      </c>
      <c r="C1313" s="2">
        <v>44343</v>
      </c>
      <c r="D1313" s="3">
        <v>1299.6000000000001</v>
      </c>
    </row>
    <row r="1314" spans="1:4" ht="14.7" thickBot="1" x14ac:dyDescent="0.6">
      <c r="A1314" s="1" t="s">
        <v>16</v>
      </c>
      <c r="B1314" t="str">
        <f>VLOOKUP(A1314,'Area Breakdown'!$B$1:$C$33,2,)</f>
        <v>Downtown</v>
      </c>
      <c r="C1314" s="2">
        <v>44343</v>
      </c>
      <c r="D1314" s="3">
        <v>1296.4000000000001</v>
      </c>
    </row>
    <row r="1315" spans="1:4" ht="14.7" thickBot="1" x14ac:dyDescent="0.6">
      <c r="A1315" s="1" t="s">
        <v>22</v>
      </c>
      <c r="B1315" t="str">
        <f>VLOOKUP(A1315,'Area Breakdown'!$B$1:$C$33,2,)</f>
        <v>Heliopolis</v>
      </c>
      <c r="C1315" s="2">
        <v>44343</v>
      </c>
      <c r="D1315" s="3">
        <v>1292</v>
      </c>
    </row>
    <row r="1316" spans="1:4" ht="14.7" thickBot="1" x14ac:dyDescent="0.6">
      <c r="A1316" s="1" t="s">
        <v>22</v>
      </c>
      <c r="B1316" t="str">
        <f>VLOOKUP(A1316,'Area Breakdown'!$B$1:$C$33,2,)</f>
        <v>Heliopolis</v>
      </c>
      <c r="C1316" s="2">
        <v>44344</v>
      </c>
      <c r="D1316" s="3">
        <v>1537.2</v>
      </c>
    </row>
    <row r="1317" spans="1:4" ht="14.7" thickBot="1" x14ac:dyDescent="0.6">
      <c r="A1317" s="1" t="s">
        <v>16</v>
      </c>
      <c r="B1317" t="str">
        <f>VLOOKUP(A1317,'Area Breakdown'!$B$1:$C$33,2,)</f>
        <v>Downtown</v>
      </c>
      <c r="C1317" s="2">
        <v>44344</v>
      </c>
      <c r="D1317" s="3">
        <v>1435.2</v>
      </c>
    </row>
    <row r="1318" spans="1:4" ht="14.7" thickBot="1" x14ac:dyDescent="0.6">
      <c r="A1318" s="1" t="s">
        <v>12</v>
      </c>
      <c r="B1318" t="str">
        <f>VLOOKUP(A1318,'Area Breakdown'!$B$1:$C$33,2,)</f>
        <v>New Cairo</v>
      </c>
      <c r="C1318" s="2">
        <v>44344</v>
      </c>
      <c r="D1318" s="3">
        <v>1409.2</v>
      </c>
    </row>
    <row r="1319" spans="1:4" ht="14.7" thickBot="1" x14ac:dyDescent="0.6">
      <c r="A1319" s="1" t="s">
        <v>21</v>
      </c>
      <c r="B1319" t="str">
        <f>VLOOKUP(A1319,'Area Breakdown'!$B$1:$C$33,2,)</f>
        <v>Heliopolis</v>
      </c>
      <c r="C1319" s="2">
        <v>44344</v>
      </c>
      <c r="D1319" s="3">
        <v>1108</v>
      </c>
    </row>
    <row r="1320" spans="1:4" ht="14.7" thickBot="1" x14ac:dyDescent="0.6">
      <c r="A1320" s="1" t="s">
        <v>25</v>
      </c>
      <c r="B1320" t="str">
        <f>VLOOKUP(A1320,'Area Breakdown'!$B$1:$C$33,2,)</f>
        <v>October</v>
      </c>
      <c r="C1320" s="2">
        <v>44344</v>
      </c>
      <c r="D1320" s="3">
        <v>1078.4000000000001</v>
      </c>
    </row>
    <row r="1321" spans="1:4" ht="14.7" thickBot="1" x14ac:dyDescent="0.6">
      <c r="A1321" s="1" t="s">
        <v>24</v>
      </c>
      <c r="B1321" t="str">
        <f>VLOOKUP(A1321,'Area Breakdown'!$B$1:$C$33,2,)</f>
        <v>October</v>
      </c>
      <c r="C1321" s="2">
        <v>44344</v>
      </c>
      <c r="D1321" s="3">
        <v>921.2</v>
      </c>
    </row>
    <row r="1322" spans="1:4" ht="14.7" thickBot="1" x14ac:dyDescent="0.6">
      <c r="A1322" s="1" t="s">
        <v>0</v>
      </c>
      <c r="B1322" t="str">
        <f>VLOOKUP(A1322,'Area Breakdown'!$B$1:$C$33,2,)</f>
        <v>Downtown</v>
      </c>
      <c r="C1322" s="2">
        <v>44344</v>
      </c>
      <c r="D1322" s="3">
        <v>849.6</v>
      </c>
    </row>
    <row r="1323" spans="1:4" ht="14.7" thickBot="1" x14ac:dyDescent="0.6">
      <c r="A1323" s="1" t="s">
        <v>27</v>
      </c>
      <c r="B1323" t="str">
        <f>VLOOKUP(A1323,'Area Breakdown'!$B$1:$C$33,2,)</f>
        <v xml:space="preserve">Alexandria </v>
      </c>
      <c r="C1323" s="2">
        <v>44344</v>
      </c>
      <c r="D1323" s="3">
        <v>744.40000000000009</v>
      </c>
    </row>
    <row r="1324" spans="1:4" ht="14.7" thickBot="1" x14ac:dyDescent="0.6">
      <c r="A1324" s="1" t="s">
        <v>3</v>
      </c>
      <c r="B1324" t="str">
        <f>VLOOKUP(A1324,'Area Breakdown'!$B$1:$C$33,2,)</f>
        <v>Downtown</v>
      </c>
      <c r="C1324" s="2">
        <v>44344</v>
      </c>
      <c r="D1324" s="3">
        <v>598.80000000000007</v>
      </c>
    </row>
    <row r="1325" spans="1:4" ht="14.7" thickBot="1" x14ac:dyDescent="0.6">
      <c r="A1325" s="1" t="s">
        <v>11</v>
      </c>
      <c r="B1325" t="str">
        <f>VLOOKUP(A1325,'Area Breakdown'!$B$1:$C$33,2,)</f>
        <v>New Cairo</v>
      </c>
      <c r="C1325" s="2">
        <v>44344</v>
      </c>
      <c r="D1325" s="3">
        <v>583.20000000000005</v>
      </c>
    </row>
    <row r="1326" spans="1:4" ht="14.7" thickBot="1" x14ac:dyDescent="0.6">
      <c r="A1326" s="1" t="s">
        <v>17</v>
      </c>
      <c r="B1326" t="str">
        <f>VLOOKUP(A1326,'Area Breakdown'!$B$1:$C$33,2,)</f>
        <v>Heliopolis</v>
      </c>
      <c r="C1326" s="2">
        <v>44344</v>
      </c>
      <c r="D1326" s="3">
        <v>575.20000000000005</v>
      </c>
    </row>
    <row r="1327" spans="1:4" ht="14.7" thickBot="1" x14ac:dyDescent="0.6">
      <c r="A1327" s="1" t="s">
        <v>1</v>
      </c>
      <c r="B1327" t="str">
        <f>VLOOKUP(A1327,'Area Breakdown'!$B$1:$C$33,2,)</f>
        <v>Downtown</v>
      </c>
      <c r="C1327" s="2">
        <v>44344</v>
      </c>
      <c r="D1327" s="3">
        <v>564.80000000000007</v>
      </c>
    </row>
    <row r="1328" spans="1:4" ht="14.7" thickBot="1" x14ac:dyDescent="0.6">
      <c r="A1328" s="1" t="s">
        <v>20</v>
      </c>
      <c r="B1328" t="str">
        <f>VLOOKUP(A1328,'Area Breakdown'!$B$1:$C$33,2,)</f>
        <v>Downtown</v>
      </c>
      <c r="C1328" s="2">
        <v>44344</v>
      </c>
      <c r="D1328" s="3">
        <v>550.4</v>
      </c>
    </row>
    <row r="1329" spans="1:4" ht="14.7" thickBot="1" x14ac:dyDescent="0.6">
      <c r="A1329" s="1" t="s">
        <v>19</v>
      </c>
      <c r="B1329" t="str">
        <f>VLOOKUP(A1329,'Area Breakdown'!$B$1:$C$33,2,)</f>
        <v>Downtown</v>
      </c>
      <c r="C1329" s="2">
        <v>44344</v>
      </c>
      <c r="D1329" s="3">
        <v>549.20000000000005</v>
      </c>
    </row>
    <row r="1330" spans="1:4" ht="14.7" thickBot="1" x14ac:dyDescent="0.6">
      <c r="A1330" s="1" t="s">
        <v>10</v>
      </c>
      <c r="B1330" t="str">
        <f>VLOOKUP(A1330,'Area Breakdown'!$B$1:$C$33,2,)</f>
        <v xml:space="preserve">Alexandria </v>
      </c>
      <c r="C1330" s="2">
        <v>44344</v>
      </c>
      <c r="D1330" s="3">
        <v>536</v>
      </c>
    </row>
    <row r="1331" spans="1:4" ht="14.7" thickBot="1" x14ac:dyDescent="0.6">
      <c r="A1331" s="1" t="s">
        <v>15</v>
      </c>
      <c r="B1331" t="str">
        <f>VLOOKUP(A1331,'Area Breakdown'!$B$1:$C$33,2,)</f>
        <v>Heliopolis</v>
      </c>
      <c r="C1331" s="2">
        <v>44344</v>
      </c>
      <c r="D1331" s="3">
        <v>456</v>
      </c>
    </row>
    <row r="1332" spans="1:4" ht="14.7" thickBot="1" x14ac:dyDescent="0.6">
      <c r="A1332" s="1" t="s">
        <v>13</v>
      </c>
      <c r="B1332" t="str">
        <f>VLOOKUP(A1332,'Area Breakdown'!$B$1:$C$33,2,)</f>
        <v>Heliopolis</v>
      </c>
      <c r="C1332" s="2">
        <v>44344</v>
      </c>
      <c r="D1332" s="3">
        <v>421.6</v>
      </c>
    </row>
    <row r="1333" spans="1:4" ht="14.7" thickBot="1" x14ac:dyDescent="0.6">
      <c r="A1333" s="1" t="s">
        <v>9</v>
      </c>
      <c r="B1333" t="str">
        <f>VLOOKUP(A1333,'Area Breakdown'!$B$1:$C$33,2,)</f>
        <v xml:space="preserve">Alexandria </v>
      </c>
      <c r="C1333" s="2">
        <v>44344</v>
      </c>
      <c r="D1333" s="3">
        <v>405.6</v>
      </c>
    </row>
    <row r="1334" spans="1:4" ht="14.7" thickBot="1" x14ac:dyDescent="0.6">
      <c r="A1334" s="1" t="s">
        <v>4</v>
      </c>
      <c r="B1334" t="str">
        <f>VLOOKUP(A1334,'Area Breakdown'!$B$1:$C$33,2,)</f>
        <v>Downtown</v>
      </c>
      <c r="C1334" s="2">
        <v>44344</v>
      </c>
      <c r="D1334" s="3">
        <v>387.6</v>
      </c>
    </row>
    <row r="1335" spans="1:4" ht="14.7" thickBot="1" x14ac:dyDescent="0.6">
      <c r="A1335" s="1" t="s">
        <v>2</v>
      </c>
      <c r="B1335" t="str">
        <f>VLOOKUP(A1335,'Area Breakdown'!$B$1:$C$33,2,)</f>
        <v>Downtown</v>
      </c>
      <c r="C1335" s="2">
        <v>44344</v>
      </c>
      <c r="D1335" s="3">
        <v>358</v>
      </c>
    </row>
    <row r="1336" spans="1:4" ht="14.7" thickBot="1" x14ac:dyDescent="0.6">
      <c r="A1336" s="1" t="s">
        <v>8</v>
      </c>
      <c r="B1336" t="str">
        <f>VLOOKUP(A1336,'Area Breakdown'!$B$1:$C$33,2,)</f>
        <v>Heliopolis</v>
      </c>
      <c r="C1336" s="2">
        <v>44344</v>
      </c>
      <c r="D1336" s="3">
        <v>333.6</v>
      </c>
    </row>
    <row r="1337" spans="1:4" ht="14.7" thickBot="1" x14ac:dyDescent="0.6">
      <c r="A1337" s="1" t="s">
        <v>6</v>
      </c>
      <c r="B1337" t="str">
        <f>VLOOKUP(A1337,'Area Breakdown'!$B$1:$C$33,2,)</f>
        <v xml:space="preserve">Alexandria </v>
      </c>
      <c r="C1337" s="2">
        <v>44344</v>
      </c>
      <c r="D1337" s="3">
        <v>192</v>
      </c>
    </row>
    <row r="1338" spans="1:4" ht="14.7" thickBot="1" x14ac:dyDescent="0.6">
      <c r="A1338" s="1" t="s">
        <v>23</v>
      </c>
      <c r="B1338" t="str">
        <f>VLOOKUP(A1338,'Area Breakdown'!$B$1:$C$33,2,)</f>
        <v>Heliopolis</v>
      </c>
      <c r="C1338" s="2">
        <v>44344</v>
      </c>
      <c r="D1338" s="3">
        <v>178</v>
      </c>
    </row>
    <row r="1339" spans="1:4" ht="14.7" thickBot="1" x14ac:dyDescent="0.6">
      <c r="A1339" s="1" t="s">
        <v>7</v>
      </c>
      <c r="B1339" t="str">
        <f>VLOOKUP(A1339,'Area Breakdown'!$B$1:$C$33,2,)</f>
        <v>October</v>
      </c>
      <c r="C1339" s="2">
        <v>44344</v>
      </c>
      <c r="D1339" s="3">
        <v>138.4</v>
      </c>
    </row>
    <row r="1340" spans="1:4" ht="14.7" thickBot="1" x14ac:dyDescent="0.6">
      <c r="A1340" s="1" t="s">
        <v>21</v>
      </c>
      <c r="B1340" t="str">
        <f>VLOOKUP(A1340,'Area Breakdown'!$B$1:$C$33,2,)</f>
        <v>Heliopolis</v>
      </c>
      <c r="C1340" s="2">
        <v>44345</v>
      </c>
      <c r="D1340" s="3">
        <v>1510.8000000000002</v>
      </c>
    </row>
    <row r="1341" spans="1:4" ht="14.7" thickBot="1" x14ac:dyDescent="0.6">
      <c r="A1341" s="1" t="s">
        <v>22</v>
      </c>
      <c r="B1341" t="str">
        <f>VLOOKUP(A1341,'Area Breakdown'!$B$1:$C$33,2,)</f>
        <v>Heliopolis</v>
      </c>
      <c r="C1341" s="2">
        <v>44345</v>
      </c>
      <c r="D1341" s="3">
        <v>1418</v>
      </c>
    </row>
    <row r="1342" spans="1:4" ht="14.7" thickBot="1" x14ac:dyDescent="0.6">
      <c r="A1342" s="1" t="s">
        <v>12</v>
      </c>
      <c r="B1342" t="str">
        <f>VLOOKUP(A1342,'Area Breakdown'!$B$1:$C$33,2,)</f>
        <v>New Cairo</v>
      </c>
      <c r="C1342" s="2">
        <v>44345</v>
      </c>
      <c r="D1342" s="3">
        <v>1404.8000000000002</v>
      </c>
    </row>
    <row r="1343" spans="1:4" ht="14.7" thickBot="1" x14ac:dyDescent="0.6">
      <c r="A1343" s="1" t="s">
        <v>16</v>
      </c>
      <c r="B1343" t="str">
        <f>VLOOKUP(A1343,'Area Breakdown'!$B$1:$C$33,2,)</f>
        <v>Downtown</v>
      </c>
      <c r="C1343" s="2">
        <v>44345</v>
      </c>
      <c r="D1343" s="3">
        <v>1222.4000000000001</v>
      </c>
    </row>
    <row r="1344" spans="1:4" ht="14.7" thickBot="1" x14ac:dyDescent="0.6">
      <c r="A1344" s="1" t="s">
        <v>27</v>
      </c>
      <c r="B1344" t="str">
        <f>VLOOKUP(A1344,'Area Breakdown'!$B$1:$C$33,2,)</f>
        <v xml:space="preserve">Alexandria </v>
      </c>
      <c r="C1344" s="2">
        <v>44345</v>
      </c>
      <c r="D1344" s="3">
        <v>1146</v>
      </c>
    </row>
    <row r="1345" spans="1:4" ht="14.7" thickBot="1" x14ac:dyDescent="0.6">
      <c r="A1345" s="1" t="s">
        <v>0</v>
      </c>
      <c r="B1345" t="str">
        <f>VLOOKUP(A1345,'Area Breakdown'!$B$1:$C$33,2,)</f>
        <v>Downtown</v>
      </c>
      <c r="C1345" s="2">
        <v>44345</v>
      </c>
      <c r="D1345" s="3">
        <v>1044.4000000000001</v>
      </c>
    </row>
    <row r="1346" spans="1:4" ht="14.7" thickBot="1" x14ac:dyDescent="0.6">
      <c r="A1346" s="1" t="s">
        <v>19</v>
      </c>
      <c r="B1346" t="str">
        <f>VLOOKUP(A1346,'Area Breakdown'!$B$1:$C$33,2,)</f>
        <v>Downtown</v>
      </c>
      <c r="C1346" s="2">
        <v>44345</v>
      </c>
      <c r="D1346" s="3">
        <v>931.2</v>
      </c>
    </row>
    <row r="1347" spans="1:4" ht="14.7" thickBot="1" x14ac:dyDescent="0.6">
      <c r="A1347" s="1" t="s">
        <v>24</v>
      </c>
      <c r="B1347" t="str">
        <f>VLOOKUP(A1347,'Area Breakdown'!$B$1:$C$33,2,)</f>
        <v>October</v>
      </c>
      <c r="C1347" s="2">
        <v>44345</v>
      </c>
      <c r="D1347" s="3">
        <v>869.6</v>
      </c>
    </row>
    <row r="1348" spans="1:4" ht="14.7" thickBot="1" x14ac:dyDescent="0.6">
      <c r="A1348" s="1" t="s">
        <v>20</v>
      </c>
      <c r="B1348" t="str">
        <f>VLOOKUP(A1348,'Area Breakdown'!$B$1:$C$33,2,)</f>
        <v>Downtown</v>
      </c>
      <c r="C1348" s="2">
        <v>44345</v>
      </c>
      <c r="D1348" s="3">
        <v>824.40000000000009</v>
      </c>
    </row>
    <row r="1349" spans="1:4" ht="14.7" thickBot="1" x14ac:dyDescent="0.6">
      <c r="A1349" s="1" t="s">
        <v>25</v>
      </c>
      <c r="B1349" t="str">
        <f>VLOOKUP(A1349,'Area Breakdown'!$B$1:$C$33,2,)</f>
        <v>October</v>
      </c>
      <c r="C1349" s="2">
        <v>44345</v>
      </c>
      <c r="D1349" s="3">
        <v>816</v>
      </c>
    </row>
    <row r="1350" spans="1:4" ht="14.7" thickBot="1" x14ac:dyDescent="0.6">
      <c r="A1350" s="1" t="s">
        <v>11</v>
      </c>
      <c r="B1350" t="str">
        <f>VLOOKUP(A1350,'Area Breakdown'!$B$1:$C$33,2,)</f>
        <v>New Cairo</v>
      </c>
      <c r="C1350" s="2">
        <v>44345</v>
      </c>
      <c r="D1350" s="3">
        <v>646.80000000000007</v>
      </c>
    </row>
    <row r="1351" spans="1:4" ht="14.7" thickBot="1" x14ac:dyDescent="0.6">
      <c r="A1351" s="1" t="s">
        <v>10</v>
      </c>
      <c r="B1351" t="str">
        <f>VLOOKUP(A1351,'Area Breakdown'!$B$1:$C$33,2,)</f>
        <v xml:space="preserve">Alexandria </v>
      </c>
      <c r="C1351" s="2">
        <v>44345</v>
      </c>
      <c r="D1351" s="3">
        <v>614</v>
      </c>
    </row>
    <row r="1352" spans="1:4" ht="14.7" thickBot="1" x14ac:dyDescent="0.6">
      <c r="A1352" s="1" t="s">
        <v>9</v>
      </c>
      <c r="B1352" t="str">
        <f>VLOOKUP(A1352,'Area Breakdown'!$B$1:$C$33,2,)</f>
        <v xml:space="preserve">Alexandria </v>
      </c>
      <c r="C1352" s="2">
        <v>44345</v>
      </c>
      <c r="D1352" s="3">
        <v>549.6</v>
      </c>
    </row>
    <row r="1353" spans="1:4" ht="14.7" thickBot="1" x14ac:dyDescent="0.6">
      <c r="A1353" s="1" t="s">
        <v>3</v>
      </c>
      <c r="B1353" t="str">
        <f>VLOOKUP(A1353,'Area Breakdown'!$B$1:$C$33,2,)</f>
        <v>Downtown</v>
      </c>
      <c r="C1353" s="2">
        <v>44345</v>
      </c>
      <c r="D1353" s="3">
        <v>532.80000000000007</v>
      </c>
    </row>
    <row r="1354" spans="1:4" ht="14.7" thickBot="1" x14ac:dyDescent="0.6">
      <c r="A1354" s="1" t="s">
        <v>17</v>
      </c>
      <c r="B1354" t="str">
        <f>VLOOKUP(A1354,'Area Breakdown'!$B$1:$C$33,2,)</f>
        <v>Heliopolis</v>
      </c>
      <c r="C1354" s="2">
        <v>44345</v>
      </c>
      <c r="D1354" s="3">
        <v>530.80000000000007</v>
      </c>
    </row>
    <row r="1355" spans="1:4" ht="14.7" thickBot="1" x14ac:dyDescent="0.6">
      <c r="A1355" s="1" t="s">
        <v>13</v>
      </c>
      <c r="B1355" t="str">
        <f>VLOOKUP(A1355,'Area Breakdown'!$B$1:$C$33,2,)</f>
        <v>Heliopolis</v>
      </c>
      <c r="C1355" s="2">
        <v>44345</v>
      </c>
      <c r="D1355" s="3">
        <v>507.20000000000005</v>
      </c>
    </row>
    <row r="1356" spans="1:4" ht="14.7" thickBot="1" x14ac:dyDescent="0.6">
      <c r="A1356" s="1" t="s">
        <v>2</v>
      </c>
      <c r="B1356" t="str">
        <f>VLOOKUP(A1356,'Area Breakdown'!$B$1:$C$33,2,)</f>
        <v>Downtown</v>
      </c>
      <c r="C1356" s="2">
        <v>44345</v>
      </c>
      <c r="D1356" s="3">
        <v>490.40000000000003</v>
      </c>
    </row>
    <row r="1357" spans="1:4" ht="14.7" thickBot="1" x14ac:dyDescent="0.6">
      <c r="A1357" s="1" t="s">
        <v>1</v>
      </c>
      <c r="B1357" t="str">
        <f>VLOOKUP(A1357,'Area Breakdown'!$B$1:$C$33,2,)</f>
        <v>Downtown</v>
      </c>
      <c r="C1357" s="2">
        <v>44345</v>
      </c>
      <c r="D1357" s="3">
        <v>482.8</v>
      </c>
    </row>
    <row r="1358" spans="1:4" ht="14.7" thickBot="1" x14ac:dyDescent="0.6">
      <c r="A1358" s="1" t="s">
        <v>6</v>
      </c>
      <c r="B1358" t="str">
        <f>VLOOKUP(A1358,'Area Breakdown'!$B$1:$C$33,2,)</f>
        <v xml:space="preserve">Alexandria </v>
      </c>
      <c r="C1358" s="2">
        <v>44345</v>
      </c>
      <c r="D1358" s="3">
        <v>455.6</v>
      </c>
    </row>
    <row r="1359" spans="1:4" ht="14.7" thickBot="1" x14ac:dyDescent="0.6">
      <c r="A1359" s="1" t="s">
        <v>15</v>
      </c>
      <c r="B1359" t="str">
        <f>VLOOKUP(A1359,'Area Breakdown'!$B$1:$C$33,2,)</f>
        <v>Heliopolis</v>
      </c>
      <c r="C1359" s="2">
        <v>44345</v>
      </c>
      <c r="D1359" s="3">
        <v>400.8</v>
      </c>
    </row>
    <row r="1360" spans="1:4" ht="14.7" thickBot="1" x14ac:dyDescent="0.6">
      <c r="A1360" s="1" t="s">
        <v>7</v>
      </c>
      <c r="B1360" t="str">
        <f>VLOOKUP(A1360,'Area Breakdown'!$B$1:$C$33,2,)</f>
        <v>October</v>
      </c>
      <c r="C1360" s="2">
        <v>44345</v>
      </c>
      <c r="D1360" s="3">
        <v>327.60000000000002</v>
      </c>
    </row>
    <row r="1361" spans="1:4" ht="14.7" thickBot="1" x14ac:dyDescent="0.6">
      <c r="A1361" s="1" t="s">
        <v>4</v>
      </c>
      <c r="B1361" t="str">
        <f>VLOOKUP(A1361,'Area Breakdown'!$B$1:$C$33,2,)</f>
        <v>Downtown</v>
      </c>
      <c r="C1361" s="2">
        <v>44345</v>
      </c>
      <c r="D1361" s="3">
        <v>282</v>
      </c>
    </row>
    <row r="1362" spans="1:4" ht="14.7" thickBot="1" x14ac:dyDescent="0.6">
      <c r="A1362" s="1" t="s">
        <v>8</v>
      </c>
      <c r="B1362" t="str">
        <f>VLOOKUP(A1362,'Area Breakdown'!$B$1:$C$33,2,)</f>
        <v>Heliopolis</v>
      </c>
      <c r="C1362" s="2">
        <v>44345</v>
      </c>
      <c r="D1362" s="3">
        <v>265.60000000000002</v>
      </c>
    </row>
    <row r="1363" spans="1:4" ht="14.7" thickBot="1" x14ac:dyDescent="0.6">
      <c r="A1363" s="1" t="s">
        <v>23</v>
      </c>
      <c r="B1363" t="str">
        <f>VLOOKUP(A1363,'Area Breakdown'!$B$1:$C$33,2,)</f>
        <v>Heliopolis</v>
      </c>
      <c r="C1363" s="2">
        <v>44345</v>
      </c>
      <c r="D1363" s="3">
        <v>172.8</v>
      </c>
    </row>
    <row r="1364" spans="1:4" ht="14.7" thickBot="1" x14ac:dyDescent="0.6">
      <c r="A1364" s="1" t="s">
        <v>19</v>
      </c>
      <c r="B1364" t="str">
        <f>VLOOKUP(A1364,'Area Breakdown'!$B$1:$C$33,2,)</f>
        <v>Downtown</v>
      </c>
      <c r="C1364" s="2">
        <v>44346</v>
      </c>
      <c r="D1364" s="3">
        <v>1612</v>
      </c>
    </row>
    <row r="1365" spans="1:4" ht="14.7" thickBot="1" x14ac:dyDescent="0.6">
      <c r="A1365" s="1" t="s">
        <v>21</v>
      </c>
      <c r="B1365" t="str">
        <f>VLOOKUP(A1365,'Area Breakdown'!$B$1:$C$33,2,)</f>
        <v>Heliopolis</v>
      </c>
      <c r="C1365" s="2">
        <v>44346</v>
      </c>
      <c r="D1365" s="3">
        <v>1261.6000000000001</v>
      </c>
    </row>
    <row r="1366" spans="1:4" ht="14.7" thickBot="1" x14ac:dyDescent="0.6">
      <c r="A1366" s="1" t="s">
        <v>25</v>
      </c>
      <c r="B1366" t="str">
        <f>VLOOKUP(A1366,'Area Breakdown'!$B$1:$C$33,2,)</f>
        <v>October</v>
      </c>
      <c r="C1366" s="2">
        <v>44346</v>
      </c>
      <c r="D1366" s="3">
        <v>1146.8</v>
      </c>
    </row>
    <row r="1367" spans="1:4" ht="14.7" thickBot="1" x14ac:dyDescent="0.6">
      <c r="A1367" s="1" t="s">
        <v>1</v>
      </c>
      <c r="B1367" t="str">
        <f>VLOOKUP(A1367,'Area Breakdown'!$B$1:$C$33,2,)</f>
        <v>Downtown</v>
      </c>
      <c r="C1367" s="2">
        <v>44346</v>
      </c>
      <c r="D1367" s="3">
        <v>1069.6000000000001</v>
      </c>
    </row>
    <row r="1368" spans="1:4" ht="14.7" thickBot="1" x14ac:dyDescent="0.6">
      <c r="A1368" s="1" t="s">
        <v>16</v>
      </c>
      <c r="B1368" t="str">
        <f>VLOOKUP(A1368,'Area Breakdown'!$B$1:$C$33,2,)</f>
        <v>Downtown</v>
      </c>
      <c r="C1368" s="2">
        <v>44346</v>
      </c>
      <c r="D1368" s="3">
        <v>1026.8</v>
      </c>
    </row>
    <row r="1369" spans="1:4" ht="14.7" thickBot="1" x14ac:dyDescent="0.6">
      <c r="A1369" s="1" t="s">
        <v>24</v>
      </c>
      <c r="B1369" t="str">
        <f>VLOOKUP(A1369,'Area Breakdown'!$B$1:$C$33,2,)</f>
        <v>October</v>
      </c>
      <c r="C1369" s="2">
        <v>44346</v>
      </c>
      <c r="D1369" s="3">
        <v>999.2</v>
      </c>
    </row>
    <row r="1370" spans="1:4" ht="14.7" thickBot="1" x14ac:dyDescent="0.6">
      <c r="A1370" s="1" t="s">
        <v>2</v>
      </c>
      <c r="B1370" t="str">
        <f>VLOOKUP(A1370,'Area Breakdown'!$B$1:$C$33,2,)</f>
        <v>Downtown</v>
      </c>
      <c r="C1370" s="2">
        <v>44346</v>
      </c>
      <c r="D1370" s="3">
        <v>934.40000000000009</v>
      </c>
    </row>
    <row r="1371" spans="1:4" ht="14.7" thickBot="1" x14ac:dyDescent="0.6">
      <c r="A1371" s="1" t="s">
        <v>3</v>
      </c>
      <c r="B1371" t="str">
        <f>VLOOKUP(A1371,'Area Breakdown'!$B$1:$C$33,2,)</f>
        <v>Downtown</v>
      </c>
      <c r="C1371" s="2">
        <v>44346</v>
      </c>
      <c r="D1371" s="3">
        <v>890.40000000000009</v>
      </c>
    </row>
    <row r="1372" spans="1:4" ht="14.7" thickBot="1" x14ac:dyDescent="0.6">
      <c r="A1372" s="1" t="s">
        <v>9</v>
      </c>
      <c r="B1372" t="str">
        <f>VLOOKUP(A1372,'Area Breakdown'!$B$1:$C$33,2,)</f>
        <v xml:space="preserve">Alexandria </v>
      </c>
      <c r="C1372" s="2">
        <v>44346</v>
      </c>
      <c r="D1372" s="3">
        <v>876.80000000000007</v>
      </c>
    </row>
    <row r="1373" spans="1:4" ht="14.7" thickBot="1" x14ac:dyDescent="0.6">
      <c r="A1373" s="1" t="s">
        <v>22</v>
      </c>
      <c r="B1373" t="str">
        <f>VLOOKUP(A1373,'Area Breakdown'!$B$1:$C$33,2,)</f>
        <v>Heliopolis</v>
      </c>
      <c r="C1373" s="2">
        <v>44346</v>
      </c>
      <c r="D1373" s="3">
        <v>839.2</v>
      </c>
    </row>
    <row r="1374" spans="1:4" ht="14.7" thickBot="1" x14ac:dyDescent="0.6">
      <c r="A1374" s="1" t="s">
        <v>13</v>
      </c>
      <c r="B1374" t="str">
        <f>VLOOKUP(A1374,'Area Breakdown'!$B$1:$C$33,2,)</f>
        <v>Heliopolis</v>
      </c>
      <c r="C1374" s="2">
        <v>44346</v>
      </c>
      <c r="D1374" s="3">
        <v>830</v>
      </c>
    </row>
    <row r="1375" spans="1:4" ht="14.7" thickBot="1" x14ac:dyDescent="0.6">
      <c r="A1375" s="1" t="s">
        <v>27</v>
      </c>
      <c r="B1375" t="str">
        <f>VLOOKUP(A1375,'Area Breakdown'!$B$1:$C$33,2,)</f>
        <v xml:space="preserve">Alexandria </v>
      </c>
      <c r="C1375" s="2">
        <v>44346</v>
      </c>
      <c r="D1375" s="3">
        <v>756.40000000000009</v>
      </c>
    </row>
    <row r="1376" spans="1:4" ht="14.7" thickBot="1" x14ac:dyDescent="0.6">
      <c r="A1376" s="1" t="s">
        <v>11</v>
      </c>
      <c r="B1376" t="str">
        <f>VLOOKUP(A1376,'Area Breakdown'!$B$1:$C$33,2,)</f>
        <v>New Cairo</v>
      </c>
      <c r="C1376" s="2">
        <v>44346</v>
      </c>
      <c r="D1376" s="3">
        <v>612.80000000000007</v>
      </c>
    </row>
    <row r="1377" spans="1:4" ht="14.7" thickBot="1" x14ac:dyDescent="0.6">
      <c r="A1377" s="1" t="s">
        <v>15</v>
      </c>
      <c r="B1377" t="str">
        <f>VLOOKUP(A1377,'Area Breakdown'!$B$1:$C$33,2,)</f>
        <v>Heliopolis</v>
      </c>
      <c r="C1377" s="2">
        <v>44346</v>
      </c>
      <c r="D1377" s="3">
        <v>582.80000000000007</v>
      </c>
    </row>
    <row r="1378" spans="1:4" ht="14.7" thickBot="1" x14ac:dyDescent="0.6">
      <c r="A1378" s="1" t="s">
        <v>10</v>
      </c>
      <c r="B1378" t="str">
        <f>VLOOKUP(A1378,'Area Breakdown'!$B$1:$C$33,2,)</f>
        <v xml:space="preserve">Alexandria </v>
      </c>
      <c r="C1378" s="2">
        <v>44346</v>
      </c>
      <c r="D1378" s="3">
        <v>463.6</v>
      </c>
    </row>
    <row r="1379" spans="1:4" ht="14.7" thickBot="1" x14ac:dyDescent="0.6">
      <c r="A1379" s="1" t="s">
        <v>17</v>
      </c>
      <c r="B1379" t="str">
        <f>VLOOKUP(A1379,'Area Breakdown'!$B$1:$C$33,2,)</f>
        <v>Heliopolis</v>
      </c>
      <c r="C1379" s="2">
        <v>44346</v>
      </c>
      <c r="D1379" s="3">
        <v>444.8</v>
      </c>
    </row>
    <row r="1380" spans="1:4" ht="14.7" thickBot="1" x14ac:dyDescent="0.6">
      <c r="A1380" s="1" t="s">
        <v>8</v>
      </c>
      <c r="B1380" t="str">
        <f>VLOOKUP(A1380,'Area Breakdown'!$B$1:$C$33,2,)</f>
        <v>Heliopolis</v>
      </c>
      <c r="C1380" s="2">
        <v>44346</v>
      </c>
      <c r="D1380" s="3">
        <v>444.40000000000003</v>
      </c>
    </row>
    <row r="1381" spans="1:4" ht="14.7" thickBot="1" x14ac:dyDescent="0.6">
      <c r="A1381" s="1" t="s">
        <v>6</v>
      </c>
      <c r="B1381" t="str">
        <f>VLOOKUP(A1381,'Area Breakdown'!$B$1:$C$33,2,)</f>
        <v xml:space="preserve">Alexandria </v>
      </c>
      <c r="C1381" s="2">
        <v>44346</v>
      </c>
      <c r="D1381" s="3">
        <v>421.6</v>
      </c>
    </row>
    <row r="1382" spans="1:4" ht="14.7" thickBot="1" x14ac:dyDescent="0.6">
      <c r="A1382" s="1" t="s">
        <v>23</v>
      </c>
      <c r="B1382" t="str">
        <f>VLOOKUP(A1382,'Area Breakdown'!$B$1:$C$33,2,)</f>
        <v>Heliopolis</v>
      </c>
      <c r="C1382" s="2">
        <v>44346</v>
      </c>
      <c r="D1382" s="3">
        <v>328.8</v>
      </c>
    </row>
    <row r="1383" spans="1:4" ht="14.7" thickBot="1" x14ac:dyDescent="0.6">
      <c r="A1383" s="1" t="s">
        <v>4</v>
      </c>
      <c r="B1383" t="str">
        <f>VLOOKUP(A1383,'Area Breakdown'!$B$1:$C$33,2,)</f>
        <v>Downtown</v>
      </c>
      <c r="C1383" s="2">
        <v>44346</v>
      </c>
      <c r="D1383" s="3">
        <v>293.2</v>
      </c>
    </row>
    <row r="1384" spans="1:4" ht="14.7" thickBot="1" x14ac:dyDescent="0.6">
      <c r="A1384" s="1" t="s">
        <v>7</v>
      </c>
      <c r="B1384" t="str">
        <f>VLOOKUP(A1384,'Area Breakdown'!$B$1:$C$33,2,)</f>
        <v>October</v>
      </c>
      <c r="C1384" s="2">
        <v>44346</v>
      </c>
      <c r="D1384" s="3">
        <v>146.4</v>
      </c>
    </row>
    <row r="1385" spans="1:4" ht="14.7" thickBot="1" x14ac:dyDescent="0.6">
      <c r="A1385" s="1" t="s">
        <v>0</v>
      </c>
      <c r="B1385" t="str">
        <f>VLOOKUP(A1385,'Area Breakdown'!$B$1:$C$33,2,)</f>
        <v>Downtown</v>
      </c>
      <c r="C1385" s="2">
        <v>44346</v>
      </c>
      <c r="D1385" s="3">
        <v>2188.8000000000002</v>
      </c>
    </row>
    <row r="1386" spans="1:4" ht="14.7" thickBot="1" x14ac:dyDescent="0.6">
      <c r="A1386" s="1" t="s">
        <v>12</v>
      </c>
      <c r="B1386" t="str">
        <f>VLOOKUP(A1386,'Area Breakdown'!$B$1:$C$33,2,)</f>
        <v>New Cairo</v>
      </c>
      <c r="C1386" s="2">
        <v>44346</v>
      </c>
      <c r="D1386" s="3">
        <v>2039.6000000000001</v>
      </c>
    </row>
    <row r="1387" spans="1:4" ht="14.7" thickBot="1" x14ac:dyDescent="0.6">
      <c r="A1387" s="1" t="s">
        <v>20</v>
      </c>
      <c r="B1387" t="str">
        <f>VLOOKUP(A1387,'Area Breakdown'!$B$1:$C$33,2,)</f>
        <v>Downtown</v>
      </c>
      <c r="C1387" s="2">
        <v>44346</v>
      </c>
      <c r="D1387" s="3">
        <v>1276</v>
      </c>
    </row>
    <row r="1388" spans="1:4" ht="14.7" thickBot="1" x14ac:dyDescent="0.6">
      <c r="A1388" s="1" t="s">
        <v>22</v>
      </c>
      <c r="B1388" t="str">
        <f>VLOOKUP(A1388,'Area Breakdown'!$B$1:$C$33,2,)</f>
        <v>Heliopolis</v>
      </c>
      <c r="C1388" s="2">
        <v>44347</v>
      </c>
      <c r="D1388" s="3">
        <v>1194.8</v>
      </c>
    </row>
    <row r="1389" spans="1:4" ht="14.7" thickBot="1" x14ac:dyDescent="0.6">
      <c r="A1389" s="1" t="s">
        <v>16</v>
      </c>
      <c r="B1389" t="str">
        <f>VLOOKUP(A1389,'Area Breakdown'!$B$1:$C$33,2,)</f>
        <v>Downtown</v>
      </c>
      <c r="C1389" s="2">
        <v>44347</v>
      </c>
      <c r="D1389" s="3">
        <v>1148.4000000000001</v>
      </c>
    </row>
    <row r="1390" spans="1:4" ht="14.7" thickBot="1" x14ac:dyDescent="0.6">
      <c r="A1390" s="1" t="s">
        <v>11</v>
      </c>
      <c r="B1390" t="str">
        <f>VLOOKUP(A1390,'Area Breakdown'!$B$1:$C$33,2,)</f>
        <v>New Cairo</v>
      </c>
      <c r="C1390" s="2">
        <v>44347</v>
      </c>
      <c r="D1390" s="3">
        <v>1146.8</v>
      </c>
    </row>
    <row r="1391" spans="1:4" ht="14.7" thickBot="1" x14ac:dyDescent="0.6">
      <c r="A1391" s="1" t="s">
        <v>19</v>
      </c>
      <c r="B1391" t="str">
        <f>VLOOKUP(A1391,'Area Breakdown'!$B$1:$C$33,2,)</f>
        <v>Downtown</v>
      </c>
      <c r="C1391" s="2">
        <v>44347</v>
      </c>
      <c r="D1391" s="3">
        <v>1134.4000000000001</v>
      </c>
    </row>
    <row r="1392" spans="1:4" ht="14.7" thickBot="1" x14ac:dyDescent="0.6">
      <c r="A1392" s="1" t="s">
        <v>25</v>
      </c>
      <c r="B1392" t="str">
        <f>VLOOKUP(A1392,'Area Breakdown'!$B$1:$C$33,2,)</f>
        <v>October</v>
      </c>
      <c r="C1392" s="2">
        <v>44347</v>
      </c>
      <c r="D1392" s="3">
        <v>1104</v>
      </c>
    </row>
    <row r="1393" spans="1:4" ht="14.7" thickBot="1" x14ac:dyDescent="0.6">
      <c r="A1393" s="1" t="s">
        <v>24</v>
      </c>
      <c r="B1393" t="str">
        <f>VLOOKUP(A1393,'Area Breakdown'!$B$1:$C$33,2,)</f>
        <v>October</v>
      </c>
      <c r="C1393" s="2">
        <v>44347</v>
      </c>
      <c r="D1393" s="3">
        <v>1063.6000000000001</v>
      </c>
    </row>
    <row r="1394" spans="1:4" ht="14.7" thickBot="1" x14ac:dyDescent="0.6">
      <c r="A1394" s="1" t="s">
        <v>1</v>
      </c>
      <c r="B1394" t="str">
        <f>VLOOKUP(A1394,'Area Breakdown'!$B$1:$C$33,2,)</f>
        <v>Downtown</v>
      </c>
      <c r="C1394" s="2">
        <v>44347</v>
      </c>
      <c r="D1394" s="3">
        <v>984.40000000000009</v>
      </c>
    </row>
    <row r="1395" spans="1:4" ht="14.7" thickBot="1" x14ac:dyDescent="0.6">
      <c r="A1395" s="1" t="s">
        <v>2</v>
      </c>
      <c r="B1395" t="str">
        <f>VLOOKUP(A1395,'Area Breakdown'!$B$1:$C$33,2,)</f>
        <v>Downtown</v>
      </c>
      <c r="C1395" s="2">
        <v>44347</v>
      </c>
      <c r="D1395" s="3">
        <v>947.2</v>
      </c>
    </row>
    <row r="1396" spans="1:4" ht="14.7" thickBot="1" x14ac:dyDescent="0.6">
      <c r="A1396" s="1" t="s">
        <v>27</v>
      </c>
      <c r="B1396" t="str">
        <f>VLOOKUP(A1396,'Area Breakdown'!$B$1:$C$33,2,)</f>
        <v xml:space="preserve">Alexandria </v>
      </c>
      <c r="C1396" s="2">
        <v>44347</v>
      </c>
      <c r="D1396" s="3">
        <v>724.40000000000009</v>
      </c>
    </row>
    <row r="1397" spans="1:4" ht="14.7" thickBot="1" x14ac:dyDescent="0.6">
      <c r="A1397" s="1" t="s">
        <v>13</v>
      </c>
      <c r="B1397" t="str">
        <f>VLOOKUP(A1397,'Area Breakdown'!$B$1:$C$33,2,)</f>
        <v>Heliopolis</v>
      </c>
      <c r="C1397" s="2">
        <v>44347</v>
      </c>
      <c r="D1397" s="3">
        <v>609.6</v>
      </c>
    </row>
    <row r="1398" spans="1:4" ht="14.7" thickBot="1" x14ac:dyDescent="0.6">
      <c r="A1398" s="1" t="s">
        <v>6</v>
      </c>
      <c r="B1398" t="str">
        <f>VLOOKUP(A1398,'Area Breakdown'!$B$1:$C$33,2,)</f>
        <v xml:space="preserve">Alexandria </v>
      </c>
      <c r="C1398" s="2">
        <v>44347</v>
      </c>
      <c r="D1398" s="3">
        <v>544.4</v>
      </c>
    </row>
    <row r="1399" spans="1:4" ht="14.7" thickBot="1" x14ac:dyDescent="0.6">
      <c r="A1399" s="1" t="s">
        <v>8</v>
      </c>
      <c r="B1399" t="str">
        <f>VLOOKUP(A1399,'Area Breakdown'!$B$1:$C$33,2,)</f>
        <v>Heliopolis</v>
      </c>
      <c r="C1399" s="2">
        <v>44347</v>
      </c>
      <c r="D1399" s="3">
        <v>538</v>
      </c>
    </row>
    <row r="1400" spans="1:4" ht="14.7" thickBot="1" x14ac:dyDescent="0.6">
      <c r="A1400" s="1" t="s">
        <v>10</v>
      </c>
      <c r="B1400" t="str">
        <f>VLOOKUP(A1400,'Area Breakdown'!$B$1:$C$33,2,)</f>
        <v xml:space="preserve">Alexandria </v>
      </c>
      <c r="C1400" s="2">
        <v>44347</v>
      </c>
      <c r="D1400" s="3">
        <v>510.8</v>
      </c>
    </row>
    <row r="1401" spans="1:4" ht="14.7" thickBot="1" x14ac:dyDescent="0.6">
      <c r="A1401" s="1" t="s">
        <v>20</v>
      </c>
      <c r="B1401" t="str">
        <f>VLOOKUP(A1401,'Area Breakdown'!$B$1:$C$33,2,)</f>
        <v>Downtown</v>
      </c>
      <c r="C1401" s="2">
        <v>44347</v>
      </c>
      <c r="D1401" s="3">
        <v>508.40000000000003</v>
      </c>
    </row>
    <row r="1402" spans="1:4" ht="14.7" thickBot="1" x14ac:dyDescent="0.6">
      <c r="A1402" s="1" t="s">
        <v>15</v>
      </c>
      <c r="B1402" t="str">
        <f>VLOOKUP(A1402,'Area Breakdown'!$B$1:$C$33,2,)</f>
        <v>Heliopolis</v>
      </c>
      <c r="C1402" s="2">
        <v>44347</v>
      </c>
      <c r="D1402" s="3">
        <v>502</v>
      </c>
    </row>
    <row r="1403" spans="1:4" ht="14.7" thickBot="1" x14ac:dyDescent="0.6">
      <c r="A1403" s="1" t="s">
        <v>7</v>
      </c>
      <c r="B1403" t="str">
        <f>VLOOKUP(A1403,'Area Breakdown'!$B$1:$C$33,2,)</f>
        <v>October</v>
      </c>
      <c r="C1403" s="2">
        <v>44347</v>
      </c>
      <c r="D1403" s="3">
        <v>459.6</v>
      </c>
    </row>
    <row r="1404" spans="1:4" ht="14.7" thickBot="1" x14ac:dyDescent="0.6">
      <c r="A1404" s="1" t="s">
        <v>9</v>
      </c>
      <c r="B1404" t="str">
        <f>VLOOKUP(A1404,'Area Breakdown'!$B$1:$C$33,2,)</f>
        <v xml:space="preserve">Alexandria </v>
      </c>
      <c r="C1404" s="2">
        <v>44347</v>
      </c>
      <c r="D1404" s="3">
        <v>457.6</v>
      </c>
    </row>
    <row r="1405" spans="1:4" ht="14.7" thickBot="1" x14ac:dyDescent="0.6">
      <c r="A1405" s="1" t="s">
        <v>4</v>
      </c>
      <c r="B1405" t="str">
        <f>VLOOKUP(A1405,'Area Breakdown'!$B$1:$C$33,2,)</f>
        <v>Downtown</v>
      </c>
      <c r="C1405" s="2">
        <v>44347</v>
      </c>
      <c r="D1405" s="3">
        <v>392</v>
      </c>
    </row>
    <row r="1406" spans="1:4" ht="14.7" thickBot="1" x14ac:dyDescent="0.6">
      <c r="A1406" s="1" t="s">
        <v>23</v>
      </c>
      <c r="B1406" t="str">
        <f>VLOOKUP(A1406,'Area Breakdown'!$B$1:$C$33,2,)</f>
        <v>Heliopolis</v>
      </c>
      <c r="C1406" s="2">
        <v>44347</v>
      </c>
      <c r="D1406" s="3">
        <v>377.20000000000005</v>
      </c>
    </row>
    <row r="1407" spans="1:4" ht="14.7" thickBot="1" x14ac:dyDescent="0.6">
      <c r="A1407" s="1" t="s">
        <v>17</v>
      </c>
      <c r="B1407" t="str">
        <f>VLOOKUP(A1407,'Area Breakdown'!$B$1:$C$33,2,)</f>
        <v>Heliopolis</v>
      </c>
      <c r="C1407" s="2">
        <v>44347</v>
      </c>
      <c r="D1407" s="3">
        <v>359.6</v>
      </c>
    </row>
    <row r="1408" spans="1:4" ht="14.7" thickBot="1" x14ac:dyDescent="0.6">
      <c r="A1408" s="1" t="s">
        <v>0</v>
      </c>
      <c r="B1408" t="str">
        <f>VLOOKUP(A1408,'Area Breakdown'!$B$1:$C$33,2,)</f>
        <v>Downtown</v>
      </c>
      <c r="C1408" s="2">
        <v>44347</v>
      </c>
      <c r="D1408" s="3">
        <v>1997.6000000000001</v>
      </c>
    </row>
    <row r="1409" spans="1:4" ht="14.7" thickBot="1" x14ac:dyDescent="0.6">
      <c r="A1409" s="1" t="s">
        <v>12</v>
      </c>
      <c r="B1409" t="str">
        <f>VLOOKUP(A1409,'Area Breakdown'!$B$1:$C$33,2,)</f>
        <v>New Cairo</v>
      </c>
      <c r="C1409" s="2">
        <v>44347</v>
      </c>
      <c r="D1409" s="3">
        <v>1896.8000000000002</v>
      </c>
    </row>
    <row r="1410" spans="1:4" ht="14.7" thickBot="1" x14ac:dyDescent="0.6">
      <c r="A1410" s="1" t="s">
        <v>21</v>
      </c>
      <c r="B1410" t="str">
        <f>VLOOKUP(A1410,'Area Breakdown'!$B$1:$C$33,2,)</f>
        <v>Heliopolis</v>
      </c>
      <c r="C1410" s="2">
        <v>44347</v>
      </c>
      <c r="D1410" s="3">
        <v>1302</v>
      </c>
    </row>
    <row r="1411" spans="1:4" ht="14.7" thickBot="1" x14ac:dyDescent="0.6">
      <c r="A1411" s="1" t="s">
        <v>3</v>
      </c>
      <c r="B1411" t="str">
        <f>VLOOKUP(A1411,'Area Breakdown'!$B$1:$C$33,2,)</f>
        <v>Downtown</v>
      </c>
      <c r="C1411" s="2">
        <v>44347</v>
      </c>
      <c r="D1411" s="3">
        <v>1291.6000000000001</v>
      </c>
    </row>
    <row r="1412" spans="1:4" ht="14.7" hidden="1" thickBot="1" x14ac:dyDescent="0.6">
      <c r="A1412" s="1" t="s">
        <v>19</v>
      </c>
      <c r="B1412" t="str">
        <f>VLOOKUP(A1412,'Area Breakdown'!$B$1:$C$33,2,)</f>
        <v>Downtown</v>
      </c>
      <c r="C1412" s="2">
        <v>44348</v>
      </c>
      <c r="D1412" s="3">
        <v>1472.4</v>
      </c>
    </row>
    <row r="1413" spans="1:4" ht="14.7" hidden="1" thickBot="1" x14ac:dyDescent="0.6">
      <c r="A1413" s="1" t="s">
        <v>0</v>
      </c>
      <c r="B1413" t="str">
        <f>VLOOKUP(A1413,'Area Breakdown'!$B$1:$C$33,2,)</f>
        <v>Downtown</v>
      </c>
      <c r="C1413" s="2">
        <v>44348</v>
      </c>
      <c r="D1413" s="3">
        <v>1441.6000000000001</v>
      </c>
    </row>
    <row r="1414" spans="1:4" ht="14.7" hidden="1" thickBot="1" x14ac:dyDescent="0.6">
      <c r="A1414" s="1" t="s">
        <v>22</v>
      </c>
      <c r="B1414" t="str">
        <f>VLOOKUP(A1414,'Area Breakdown'!$B$1:$C$33,2,)</f>
        <v>Heliopolis</v>
      </c>
      <c r="C1414" s="2">
        <v>44348</v>
      </c>
      <c r="D1414" s="3">
        <v>1141.6000000000001</v>
      </c>
    </row>
    <row r="1415" spans="1:4" ht="14.7" hidden="1" thickBot="1" x14ac:dyDescent="0.6">
      <c r="A1415" s="1" t="s">
        <v>11</v>
      </c>
      <c r="B1415" t="str">
        <f>VLOOKUP(A1415,'Area Breakdown'!$B$1:$C$33,2,)</f>
        <v>New Cairo</v>
      </c>
      <c r="C1415" s="2">
        <v>44348</v>
      </c>
      <c r="D1415" s="3">
        <v>1122.8</v>
      </c>
    </row>
    <row r="1416" spans="1:4" ht="14.7" hidden="1" thickBot="1" x14ac:dyDescent="0.6">
      <c r="A1416" s="1" t="s">
        <v>20</v>
      </c>
      <c r="B1416" t="str">
        <f>VLOOKUP(A1416,'Area Breakdown'!$B$1:$C$33,2,)</f>
        <v>Downtown</v>
      </c>
      <c r="C1416" s="2">
        <v>44348</v>
      </c>
      <c r="D1416" s="3">
        <v>1113.2</v>
      </c>
    </row>
    <row r="1417" spans="1:4" ht="14.7" hidden="1" thickBot="1" x14ac:dyDescent="0.6">
      <c r="A1417" s="1" t="s">
        <v>13</v>
      </c>
      <c r="B1417" t="str">
        <f>VLOOKUP(A1417,'Area Breakdown'!$B$1:$C$33,2,)</f>
        <v>Heliopolis</v>
      </c>
      <c r="C1417" s="2">
        <v>44348</v>
      </c>
      <c r="D1417" s="3">
        <v>1108</v>
      </c>
    </row>
    <row r="1418" spans="1:4" ht="14.7" hidden="1" thickBot="1" x14ac:dyDescent="0.6">
      <c r="A1418" s="1" t="s">
        <v>3</v>
      </c>
      <c r="B1418" t="str">
        <f>VLOOKUP(A1418,'Area Breakdown'!$B$1:$C$33,2,)</f>
        <v>Downtown</v>
      </c>
      <c r="C1418" s="2">
        <v>44348</v>
      </c>
      <c r="D1418" s="3">
        <v>1077.2</v>
      </c>
    </row>
    <row r="1419" spans="1:4" ht="14.7" hidden="1" thickBot="1" x14ac:dyDescent="0.6">
      <c r="A1419" s="1" t="s">
        <v>16</v>
      </c>
      <c r="B1419" t="str">
        <f>VLOOKUP(A1419,'Area Breakdown'!$B$1:$C$33,2,)</f>
        <v>Downtown</v>
      </c>
      <c r="C1419" s="2">
        <v>44348</v>
      </c>
      <c r="D1419" s="3">
        <v>1020.8000000000001</v>
      </c>
    </row>
    <row r="1420" spans="1:4" ht="14.7" hidden="1" thickBot="1" x14ac:dyDescent="0.6">
      <c r="A1420" s="1" t="s">
        <v>24</v>
      </c>
      <c r="B1420" t="str">
        <f>VLOOKUP(A1420,'Area Breakdown'!$B$1:$C$33,2,)</f>
        <v>October</v>
      </c>
      <c r="C1420" s="2">
        <v>44348</v>
      </c>
      <c r="D1420" s="3">
        <v>988.80000000000007</v>
      </c>
    </row>
    <row r="1421" spans="1:4" ht="14.7" hidden="1" thickBot="1" x14ac:dyDescent="0.6">
      <c r="A1421" s="1" t="s">
        <v>21</v>
      </c>
      <c r="B1421" t="str">
        <f>VLOOKUP(A1421,'Area Breakdown'!$B$1:$C$33,2,)</f>
        <v>Heliopolis</v>
      </c>
      <c r="C1421" s="2">
        <v>44348</v>
      </c>
      <c r="D1421" s="3">
        <v>921.2</v>
      </c>
    </row>
    <row r="1422" spans="1:4" ht="14.7" hidden="1" thickBot="1" x14ac:dyDescent="0.6">
      <c r="A1422" s="1" t="s">
        <v>27</v>
      </c>
      <c r="B1422" t="str">
        <f>VLOOKUP(A1422,'Area Breakdown'!$B$1:$C$33,2,)</f>
        <v xml:space="preserve">Alexandria </v>
      </c>
      <c r="C1422" s="2">
        <v>44348</v>
      </c>
      <c r="D1422" s="3">
        <v>904.40000000000009</v>
      </c>
    </row>
    <row r="1423" spans="1:4" ht="14.7" hidden="1" thickBot="1" x14ac:dyDescent="0.6">
      <c r="A1423" s="1" t="s">
        <v>2</v>
      </c>
      <c r="B1423" t="str">
        <f>VLOOKUP(A1423,'Area Breakdown'!$B$1:$C$33,2,)</f>
        <v>Downtown</v>
      </c>
      <c r="C1423" s="2">
        <v>44348</v>
      </c>
      <c r="D1423" s="3">
        <v>880.40000000000009</v>
      </c>
    </row>
    <row r="1424" spans="1:4" ht="14.7" hidden="1" thickBot="1" x14ac:dyDescent="0.6">
      <c r="A1424" s="1" t="s">
        <v>1</v>
      </c>
      <c r="B1424" t="str">
        <f>VLOOKUP(A1424,'Area Breakdown'!$B$1:$C$33,2,)</f>
        <v>Downtown</v>
      </c>
      <c r="C1424" s="2">
        <v>44348</v>
      </c>
      <c r="D1424" s="3">
        <v>837.6</v>
      </c>
    </row>
    <row r="1425" spans="1:4" ht="14.7" hidden="1" thickBot="1" x14ac:dyDescent="0.6">
      <c r="A1425" s="1" t="s">
        <v>15</v>
      </c>
      <c r="B1425" t="str">
        <f>VLOOKUP(A1425,'Area Breakdown'!$B$1:$C$33,2,)</f>
        <v>Heliopolis</v>
      </c>
      <c r="C1425" s="2">
        <v>44348</v>
      </c>
      <c r="D1425" s="3">
        <v>702.80000000000007</v>
      </c>
    </row>
    <row r="1426" spans="1:4" ht="14.7" hidden="1" thickBot="1" x14ac:dyDescent="0.6">
      <c r="A1426" s="1" t="s">
        <v>25</v>
      </c>
      <c r="B1426" t="str">
        <f>VLOOKUP(A1426,'Area Breakdown'!$B$1:$C$33,2,)</f>
        <v>October</v>
      </c>
      <c r="C1426" s="2">
        <v>44348</v>
      </c>
      <c r="D1426" s="3">
        <v>664.40000000000009</v>
      </c>
    </row>
    <row r="1427" spans="1:4" ht="14.7" hidden="1" thickBot="1" x14ac:dyDescent="0.6">
      <c r="A1427" s="1" t="s">
        <v>8</v>
      </c>
      <c r="B1427" t="str">
        <f>VLOOKUP(A1427,'Area Breakdown'!$B$1:$C$33,2,)</f>
        <v>Heliopolis</v>
      </c>
      <c r="C1427" s="2">
        <v>44348</v>
      </c>
      <c r="D1427" s="3">
        <v>660.40000000000009</v>
      </c>
    </row>
    <row r="1428" spans="1:4" ht="14.7" hidden="1" thickBot="1" x14ac:dyDescent="0.6">
      <c r="A1428" s="1" t="s">
        <v>6</v>
      </c>
      <c r="B1428" t="str">
        <f>VLOOKUP(A1428,'Area Breakdown'!$B$1:$C$33,2,)</f>
        <v xml:space="preserve">Alexandria </v>
      </c>
      <c r="C1428" s="2">
        <v>44348</v>
      </c>
      <c r="D1428" s="3">
        <v>532</v>
      </c>
    </row>
    <row r="1429" spans="1:4" ht="14.7" hidden="1" thickBot="1" x14ac:dyDescent="0.6">
      <c r="A1429" s="1" t="s">
        <v>23</v>
      </c>
      <c r="B1429" t="str">
        <f>VLOOKUP(A1429,'Area Breakdown'!$B$1:$C$33,2,)</f>
        <v>Heliopolis</v>
      </c>
      <c r="C1429" s="2">
        <v>44348</v>
      </c>
      <c r="D1429" s="3">
        <v>519.6</v>
      </c>
    </row>
    <row r="1430" spans="1:4" ht="14.7" hidden="1" thickBot="1" x14ac:dyDescent="0.6">
      <c r="A1430" s="1" t="s">
        <v>7</v>
      </c>
      <c r="B1430" t="str">
        <f>VLOOKUP(A1430,'Area Breakdown'!$B$1:$C$33,2,)</f>
        <v>October</v>
      </c>
      <c r="C1430" s="2">
        <v>44348</v>
      </c>
      <c r="D1430" s="3">
        <v>454.40000000000003</v>
      </c>
    </row>
    <row r="1431" spans="1:4" ht="14.7" hidden="1" thickBot="1" x14ac:dyDescent="0.6">
      <c r="A1431" s="1" t="s">
        <v>9</v>
      </c>
      <c r="B1431" t="str">
        <f>VLOOKUP(A1431,'Area Breakdown'!$B$1:$C$33,2,)</f>
        <v xml:space="preserve">Alexandria </v>
      </c>
      <c r="C1431" s="2">
        <v>44348</v>
      </c>
      <c r="D1431" s="3">
        <v>447.20000000000005</v>
      </c>
    </row>
    <row r="1432" spans="1:4" ht="14.7" hidden="1" thickBot="1" x14ac:dyDescent="0.6">
      <c r="A1432" s="1" t="s">
        <v>17</v>
      </c>
      <c r="B1432" t="str">
        <f>VLOOKUP(A1432,'Area Breakdown'!$B$1:$C$33,2,)</f>
        <v>Heliopolis</v>
      </c>
      <c r="C1432" s="2">
        <v>44348</v>
      </c>
      <c r="D1432" s="3">
        <v>436.40000000000003</v>
      </c>
    </row>
    <row r="1433" spans="1:4" ht="14.7" hidden="1" thickBot="1" x14ac:dyDescent="0.6">
      <c r="A1433" s="1" t="s">
        <v>4</v>
      </c>
      <c r="B1433" t="str">
        <f>VLOOKUP(A1433,'Area Breakdown'!$B$1:$C$33,2,)</f>
        <v>Downtown</v>
      </c>
      <c r="C1433" s="2">
        <v>44348</v>
      </c>
      <c r="D1433" s="3">
        <v>414</v>
      </c>
    </row>
    <row r="1434" spans="1:4" ht="14.7" hidden="1" thickBot="1" x14ac:dyDescent="0.6">
      <c r="A1434" s="1" t="s">
        <v>10</v>
      </c>
      <c r="B1434" t="str">
        <f>VLOOKUP(A1434,'Area Breakdown'!$B$1:$C$33,2,)</f>
        <v xml:space="preserve">Alexandria </v>
      </c>
      <c r="C1434" s="2">
        <v>44348</v>
      </c>
      <c r="D1434" s="3">
        <v>399.6</v>
      </c>
    </row>
    <row r="1435" spans="1:4" ht="14.7" hidden="1" thickBot="1" x14ac:dyDescent="0.6">
      <c r="A1435" s="1" t="s">
        <v>12</v>
      </c>
      <c r="B1435" t="str">
        <f>VLOOKUP(A1435,'Area Breakdown'!$B$1:$C$33,2,)</f>
        <v>New Cairo</v>
      </c>
      <c r="C1435" s="2">
        <v>44348</v>
      </c>
      <c r="D1435" s="3">
        <v>1788</v>
      </c>
    </row>
    <row r="1436" spans="1:4" ht="14.7" hidden="1" thickBot="1" x14ac:dyDescent="0.6">
      <c r="A1436" s="1" t="s">
        <v>16</v>
      </c>
      <c r="B1436" t="str">
        <f>VLOOKUP(A1436,'Area Breakdown'!$B$1:$C$33,2,)</f>
        <v>Downtown</v>
      </c>
      <c r="C1436" s="2">
        <v>44349</v>
      </c>
      <c r="D1436" s="3">
        <v>1603.6000000000001</v>
      </c>
    </row>
    <row r="1437" spans="1:4" ht="14.7" hidden="1" thickBot="1" x14ac:dyDescent="0.6">
      <c r="A1437" s="1" t="s">
        <v>12</v>
      </c>
      <c r="B1437" t="str">
        <f>VLOOKUP(A1437,'Area Breakdown'!$B$1:$C$33,2,)</f>
        <v>New Cairo</v>
      </c>
      <c r="C1437" s="2">
        <v>44349</v>
      </c>
      <c r="D1437" s="3">
        <v>1547.6000000000001</v>
      </c>
    </row>
    <row r="1438" spans="1:4" ht="14.7" hidden="1" thickBot="1" x14ac:dyDescent="0.6">
      <c r="A1438" s="1" t="s">
        <v>1</v>
      </c>
      <c r="B1438" t="str">
        <f>VLOOKUP(A1438,'Area Breakdown'!$B$1:$C$33,2,)</f>
        <v>Downtown</v>
      </c>
      <c r="C1438" s="2">
        <v>44349</v>
      </c>
      <c r="D1438" s="3">
        <v>1426.4</v>
      </c>
    </row>
    <row r="1439" spans="1:4" ht="14.7" hidden="1" thickBot="1" x14ac:dyDescent="0.6">
      <c r="A1439" s="1" t="s">
        <v>19</v>
      </c>
      <c r="B1439" t="str">
        <f>VLOOKUP(A1439,'Area Breakdown'!$B$1:$C$33,2,)</f>
        <v>Downtown</v>
      </c>
      <c r="C1439" s="2">
        <v>44349</v>
      </c>
      <c r="D1439" s="3">
        <v>1372.4</v>
      </c>
    </row>
    <row r="1440" spans="1:4" ht="14.7" hidden="1" thickBot="1" x14ac:dyDescent="0.6">
      <c r="A1440" s="1" t="s">
        <v>20</v>
      </c>
      <c r="B1440" t="str">
        <f>VLOOKUP(A1440,'Area Breakdown'!$B$1:$C$33,2,)</f>
        <v>Downtown</v>
      </c>
      <c r="C1440" s="2">
        <v>44349</v>
      </c>
      <c r="D1440" s="3">
        <v>1252.4000000000001</v>
      </c>
    </row>
    <row r="1441" spans="1:4" ht="14.7" hidden="1" thickBot="1" x14ac:dyDescent="0.6">
      <c r="A1441" s="1" t="s">
        <v>21</v>
      </c>
      <c r="B1441" t="str">
        <f>VLOOKUP(A1441,'Area Breakdown'!$B$1:$C$33,2,)</f>
        <v>Heliopolis</v>
      </c>
      <c r="C1441" s="2">
        <v>44349</v>
      </c>
      <c r="D1441" s="3">
        <v>1110.4000000000001</v>
      </c>
    </row>
    <row r="1442" spans="1:4" ht="14.7" hidden="1" thickBot="1" x14ac:dyDescent="0.6">
      <c r="A1442" s="1" t="s">
        <v>22</v>
      </c>
      <c r="B1442" t="str">
        <f>VLOOKUP(A1442,'Area Breakdown'!$B$1:$C$33,2,)</f>
        <v>Heliopolis</v>
      </c>
      <c r="C1442" s="2">
        <v>44349</v>
      </c>
      <c r="D1442" s="3">
        <v>1062</v>
      </c>
    </row>
    <row r="1443" spans="1:4" ht="14.7" hidden="1" thickBot="1" x14ac:dyDescent="0.6">
      <c r="A1443" s="1" t="s">
        <v>2</v>
      </c>
      <c r="B1443" t="str">
        <f>VLOOKUP(A1443,'Area Breakdown'!$B$1:$C$33,2,)</f>
        <v>Downtown</v>
      </c>
      <c r="C1443" s="2">
        <v>44349</v>
      </c>
      <c r="D1443" s="3">
        <v>880.40000000000009</v>
      </c>
    </row>
    <row r="1444" spans="1:4" ht="14.7" hidden="1" thickBot="1" x14ac:dyDescent="0.6">
      <c r="A1444" s="1" t="s">
        <v>25</v>
      </c>
      <c r="B1444" t="str">
        <f>VLOOKUP(A1444,'Area Breakdown'!$B$1:$C$33,2,)</f>
        <v>October</v>
      </c>
      <c r="C1444" s="2">
        <v>44349</v>
      </c>
      <c r="D1444" s="3">
        <v>835.6</v>
      </c>
    </row>
    <row r="1445" spans="1:4" ht="14.7" hidden="1" thickBot="1" x14ac:dyDescent="0.6">
      <c r="A1445" s="1" t="s">
        <v>15</v>
      </c>
      <c r="B1445" t="str">
        <f>VLOOKUP(A1445,'Area Breakdown'!$B$1:$C$33,2,)</f>
        <v>Heliopolis</v>
      </c>
      <c r="C1445" s="2">
        <v>44349</v>
      </c>
      <c r="D1445" s="3">
        <v>821.2</v>
      </c>
    </row>
    <row r="1446" spans="1:4" ht="14.7" hidden="1" thickBot="1" x14ac:dyDescent="0.6">
      <c r="A1446" s="1" t="s">
        <v>24</v>
      </c>
      <c r="B1446" t="str">
        <f>VLOOKUP(A1446,'Area Breakdown'!$B$1:$C$33,2,)</f>
        <v>October</v>
      </c>
      <c r="C1446" s="2">
        <v>44349</v>
      </c>
      <c r="D1446" s="3">
        <v>801.6</v>
      </c>
    </row>
    <row r="1447" spans="1:4" ht="14.7" hidden="1" thickBot="1" x14ac:dyDescent="0.6">
      <c r="A1447" s="1" t="s">
        <v>17</v>
      </c>
      <c r="B1447" t="str">
        <f>VLOOKUP(A1447,'Area Breakdown'!$B$1:$C$33,2,)</f>
        <v>Heliopolis</v>
      </c>
      <c r="C1447" s="2">
        <v>44349</v>
      </c>
      <c r="D1447" s="3">
        <v>739.2</v>
      </c>
    </row>
    <row r="1448" spans="1:4" ht="14.7" hidden="1" thickBot="1" x14ac:dyDescent="0.6">
      <c r="A1448" s="1" t="s">
        <v>3</v>
      </c>
      <c r="B1448" t="str">
        <f>VLOOKUP(A1448,'Area Breakdown'!$B$1:$C$33,2,)</f>
        <v>Downtown</v>
      </c>
      <c r="C1448" s="2">
        <v>44349</v>
      </c>
      <c r="D1448" s="3">
        <v>697.6</v>
      </c>
    </row>
    <row r="1449" spans="1:4" ht="14.7" hidden="1" thickBot="1" x14ac:dyDescent="0.6">
      <c r="A1449" s="1" t="s">
        <v>13</v>
      </c>
      <c r="B1449" t="str">
        <f>VLOOKUP(A1449,'Area Breakdown'!$B$1:$C$33,2,)</f>
        <v>Heliopolis</v>
      </c>
      <c r="C1449" s="2">
        <v>44349</v>
      </c>
      <c r="D1449" s="3">
        <v>664.40000000000009</v>
      </c>
    </row>
    <row r="1450" spans="1:4" ht="14.7" hidden="1" thickBot="1" x14ac:dyDescent="0.6">
      <c r="A1450" s="1" t="s">
        <v>10</v>
      </c>
      <c r="B1450" t="str">
        <f>VLOOKUP(A1450,'Area Breakdown'!$B$1:$C$33,2,)</f>
        <v xml:space="preserve">Alexandria </v>
      </c>
      <c r="C1450" s="2">
        <v>44349</v>
      </c>
      <c r="D1450" s="3">
        <v>653.20000000000005</v>
      </c>
    </row>
    <row r="1451" spans="1:4" ht="14.7" hidden="1" thickBot="1" x14ac:dyDescent="0.6">
      <c r="A1451" s="1" t="s">
        <v>11</v>
      </c>
      <c r="B1451" t="str">
        <f>VLOOKUP(A1451,'Area Breakdown'!$B$1:$C$33,2,)</f>
        <v>New Cairo</v>
      </c>
      <c r="C1451" s="2">
        <v>44349</v>
      </c>
      <c r="D1451" s="3">
        <v>634.80000000000007</v>
      </c>
    </row>
    <row r="1452" spans="1:4" ht="14.7" hidden="1" thickBot="1" x14ac:dyDescent="0.6">
      <c r="A1452" s="1" t="s">
        <v>8</v>
      </c>
      <c r="B1452" t="str">
        <f>VLOOKUP(A1452,'Area Breakdown'!$B$1:$C$33,2,)</f>
        <v>Heliopolis</v>
      </c>
      <c r="C1452" s="2">
        <v>44349</v>
      </c>
      <c r="D1452" s="3">
        <v>522.4</v>
      </c>
    </row>
    <row r="1453" spans="1:4" ht="14.7" hidden="1" thickBot="1" x14ac:dyDescent="0.6">
      <c r="A1453" s="1" t="s">
        <v>9</v>
      </c>
      <c r="B1453" t="str">
        <f>VLOOKUP(A1453,'Area Breakdown'!$B$1:$C$33,2,)</f>
        <v xml:space="preserve">Alexandria </v>
      </c>
      <c r="C1453" s="2">
        <v>44349</v>
      </c>
      <c r="D1453" s="3">
        <v>497.6</v>
      </c>
    </row>
    <row r="1454" spans="1:4" ht="14.7" hidden="1" thickBot="1" x14ac:dyDescent="0.6">
      <c r="A1454" s="1" t="s">
        <v>27</v>
      </c>
      <c r="B1454" t="str">
        <f>VLOOKUP(A1454,'Area Breakdown'!$B$1:$C$33,2,)</f>
        <v xml:space="preserve">Alexandria </v>
      </c>
      <c r="C1454" s="2">
        <v>44349</v>
      </c>
      <c r="D1454" s="3">
        <v>450.40000000000003</v>
      </c>
    </row>
    <row r="1455" spans="1:4" ht="14.7" hidden="1" thickBot="1" x14ac:dyDescent="0.6">
      <c r="A1455" s="1" t="s">
        <v>6</v>
      </c>
      <c r="B1455" t="str">
        <f>VLOOKUP(A1455,'Area Breakdown'!$B$1:$C$33,2,)</f>
        <v xml:space="preserve">Alexandria </v>
      </c>
      <c r="C1455" s="2">
        <v>44349</v>
      </c>
      <c r="D1455" s="3">
        <v>395.6</v>
      </c>
    </row>
    <row r="1456" spans="1:4" ht="14.7" hidden="1" thickBot="1" x14ac:dyDescent="0.6">
      <c r="A1456" s="1" t="s">
        <v>4</v>
      </c>
      <c r="B1456" t="str">
        <f>VLOOKUP(A1456,'Area Breakdown'!$B$1:$C$33,2,)</f>
        <v>Downtown</v>
      </c>
      <c r="C1456" s="2">
        <v>44349</v>
      </c>
      <c r="D1456" s="3">
        <v>352.40000000000003</v>
      </c>
    </row>
    <row r="1457" spans="1:4" ht="14.7" hidden="1" thickBot="1" x14ac:dyDescent="0.6">
      <c r="A1457" s="1" t="s">
        <v>7</v>
      </c>
      <c r="B1457" t="str">
        <f>VLOOKUP(A1457,'Area Breakdown'!$B$1:$C$33,2,)</f>
        <v>October</v>
      </c>
      <c r="C1457" s="2">
        <v>44349</v>
      </c>
      <c r="D1457" s="3">
        <v>267.60000000000002</v>
      </c>
    </row>
    <row r="1458" spans="1:4" ht="14.7" hidden="1" thickBot="1" x14ac:dyDescent="0.6">
      <c r="A1458" s="1" t="s">
        <v>23</v>
      </c>
      <c r="B1458" t="str">
        <f>VLOOKUP(A1458,'Area Breakdown'!$B$1:$C$33,2,)</f>
        <v>Heliopolis</v>
      </c>
      <c r="C1458" s="2">
        <v>44349</v>
      </c>
      <c r="D1458" s="3">
        <v>59.6</v>
      </c>
    </row>
    <row r="1459" spans="1:4" ht="14.7" hidden="1" thickBot="1" x14ac:dyDescent="0.6">
      <c r="A1459" s="1" t="s">
        <v>0</v>
      </c>
      <c r="B1459" t="str">
        <f>VLOOKUP(A1459,'Area Breakdown'!$B$1:$C$33,2,)</f>
        <v>Downtown</v>
      </c>
      <c r="C1459" s="2">
        <v>44349</v>
      </c>
      <c r="D1459" s="3">
        <v>1778.8000000000002</v>
      </c>
    </row>
    <row r="1460" spans="1:4" ht="14.7" hidden="1" thickBot="1" x14ac:dyDescent="0.6">
      <c r="A1460" s="1" t="s">
        <v>24</v>
      </c>
      <c r="B1460" t="str">
        <f>VLOOKUP(A1460,'Area Breakdown'!$B$1:$C$33,2,)</f>
        <v>October</v>
      </c>
      <c r="C1460" s="2">
        <v>44350</v>
      </c>
      <c r="D1460" s="3">
        <v>1537.6000000000001</v>
      </c>
    </row>
    <row r="1461" spans="1:4" ht="14.7" hidden="1" thickBot="1" x14ac:dyDescent="0.6">
      <c r="A1461" s="1" t="s">
        <v>19</v>
      </c>
      <c r="B1461" t="str">
        <f>VLOOKUP(A1461,'Area Breakdown'!$B$1:$C$33,2,)</f>
        <v>Downtown</v>
      </c>
      <c r="C1461" s="2">
        <v>44350</v>
      </c>
      <c r="D1461" s="3">
        <v>1428</v>
      </c>
    </row>
    <row r="1462" spans="1:4" ht="14.7" hidden="1" thickBot="1" x14ac:dyDescent="0.6">
      <c r="A1462" s="1" t="s">
        <v>12</v>
      </c>
      <c r="B1462" t="str">
        <f>VLOOKUP(A1462,'Area Breakdown'!$B$1:$C$33,2,)</f>
        <v>New Cairo</v>
      </c>
      <c r="C1462" s="2">
        <v>44350</v>
      </c>
      <c r="D1462" s="3">
        <v>1361.2</v>
      </c>
    </row>
    <row r="1463" spans="1:4" ht="14.7" hidden="1" thickBot="1" x14ac:dyDescent="0.6">
      <c r="A1463" s="1" t="s">
        <v>16</v>
      </c>
      <c r="B1463" t="str">
        <f>VLOOKUP(A1463,'Area Breakdown'!$B$1:$C$33,2,)</f>
        <v>Downtown</v>
      </c>
      <c r="C1463" s="2">
        <v>44350</v>
      </c>
      <c r="D1463" s="3">
        <v>1224</v>
      </c>
    </row>
    <row r="1464" spans="1:4" ht="14.7" hidden="1" thickBot="1" x14ac:dyDescent="0.6">
      <c r="A1464" s="1" t="s">
        <v>25</v>
      </c>
      <c r="B1464" t="str">
        <f>VLOOKUP(A1464,'Area Breakdown'!$B$1:$C$33,2,)</f>
        <v>October</v>
      </c>
      <c r="C1464" s="2">
        <v>44350</v>
      </c>
      <c r="D1464" s="3">
        <v>1173.6000000000001</v>
      </c>
    </row>
    <row r="1465" spans="1:4" ht="14.7" hidden="1" thickBot="1" x14ac:dyDescent="0.6">
      <c r="A1465" s="1" t="s">
        <v>22</v>
      </c>
      <c r="B1465" t="str">
        <f>VLOOKUP(A1465,'Area Breakdown'!$B$1:$C$33,2,)</f>
        <v>Heliopolis</v>
      </c>
      <c r="C1465" s="2">
        <v>44350</v>
      </c>
      <c r="D1465" s="3">
        <v>1082</v>
      </c>
    </row>
    <row r="1466" spans="1:4" ht="14.7" hidden="1" thickBot="1" x14ac:dyDescent="0.6">
      <c r="A1466" s="1" t="s">
        <v>2</v>
      </c>
      <c r="B1466" t="str">
        <f>VLOOKUP(A1466,'Area Breakdown'!$B$1:$C$33,2,)</f>
        <v>Downtown</v>
      </c>
      <c r="C1466" s="2">
        <v>44350</v>
      </c>
      <c r="D1466" s="3">
        <v>952</v>
      </c>
    </row>
    <row r="1467" spans="1:4" ht="14.7" hidden="1" thickBot="1" x14ac:dyDescent="0.6">
      <c r="A1467" s="1" t="s">
        <v>13</v>
      </c>
      <c r="B1467" t="str">
        <f>VLOOKUP(A1467,'Area Breakdown'!$B$1:$C$33,2,)</f>
        <v>Heliopolis</v>
      </c>
      <c r="C1467" s="2">
        <v>44350</v>
      </c>
      <c r="D1467" s="3">
        <v>936.80000000000007</v>
      </c>
    </row>
    <row r="1468" spans="1:4" ht="14.7" hidden="1" thickBot="1" x14ac:dyDescent="0.6">
      <c r="A1468" s="1" t="s">
        <v>11</v>
      </c>
      <c r="B1468" t="str">
        <f>VLOOKUP(A1468,'Area Breakdown'!$B$1:$C$33,2,)</f>
        <v>New Cairo</v>
      </c>
      <c r="C1468" s="2">
        <v>44350</v>
      </c>
      <c r="D1468" s="3">
        <v>906</v>
      </c>
    </row>
    <row r="1469" spans="1:4" ht="14.7" hidden="1" thickBot="1" x14ac:dyDescent="0.6">
      <c r="A1469" s="1" t="s">
        <v>1</v>
      </c>
      <c r="B1469" t="str">
        <f>VLOOKUP(A1469,'Area Breakdown'!$B$1:$C$33,2,)</f>
        <v>Downtown</v>
      </c>
      <c r="C1469" s="2">
        <v>44350</v>
      </c>
      <c r="D1469" s="3">
        <v>842</v>
      </c>
    </row>
    <row r="1470" spans="1:4" ht="14.7" hidden="1" thickBot="1" x14ac:dyDescent="0.6">
      <c r="A1470" s="1" t="s">
        <v>3</v>
      </c>
      <c r="B1470" t="str">
        <f>VLOOKUP(A1470,'Area Breakdown'!$B$1:$C$33,2,)</f>
        <v>Downtown</v>
      </c>
      <c r="C1470" s="2">
        <v>44350</v>
      </c>
      <c r="D1470" s="3">
        <v>728.80000000000007</v>
      </c>
    </row>
    <row r="1471" spans="1:4" ht="14.7" hidden="1" thickBot="1" x14ac:dyDescent="0.6">
      <c r="A1471" s="1" t="s">
        <v>8</v>
      </c>
      <c r="B1471" t="str">
        <f>VLOOKUP(A1471,'Area Breakdown'!$B$1:$C$33,2,)</f>
        <v>Heliopolis</v>
      </c>
      <c r="C1471" s="2">
        <v>44350</v>
      </c>
      <c r="D1471" s="3">
        <v>720.40000000000009</v>
      </c>
    </row>
    <row r="1472" spans="1:4" ht="14.7" hidden="1" thickBot="1" x14ac:dyDescent="0.6">
      <c r="A1472" s="1" t="s">
        <v>27</v>
      </c>
      <c r="B1472" t="str">
        <f>VLOOKUP(A1472,'Area Breakdown'!$B$1:$C$33,2,)</f>
        <v xml:space="preserve">Alexandria </v>
      </c>
      <c r="C1472" s="2">
        <v>44350</v>
      </c>
      <c r="D1472" s="3">
        <v>672.40000000000009</v>
      </c>
    </row>
    <row r="1473" spans="1:4" ht="14.7" hidden="1" thickBot="1" x14ac:dyDescent="0.6">
      <c r="A1473" s="1" t="s">
        <v>9</v>
      </c>
      <c r="B1473" t="str">
        <f>VLOOKUP(A1473,'Area Breakdown'!$B$1:$C$33,2,)</f>
        <v xml:space="preserve">Alexandria </v>
      </c>
      <c r="C1473" s="2">
        <v>44350</v>
      </c>
      <c r="D1473" s="3">
        <v>564.4</v>
      </c>
    </row>
    <row r="1474" spans="1:4" ht="14.7" hidden="1" thickBot="1" x14ac:dyDescent="0.6">
      <c r="A1474" s="1" t="s">
        <v>15</v>
      </c>
      <c r="B1474" t="str">
        <f>VLOOKUP(A1474,'Area Breakdown'!$B$1:$C$33,2,)</f>
        <v>Heliopolis</v>
      </c>
      <c r="C1474" s="2">
        <v>44350</v>
      </c>
      <c r="D1474" s="3">
        <v>490.40000000000003</v>
      </c>
    </row>
    <row r="1475" spans="1:4" ht="14.7" hidden="1" thickBot="1" x14ac:dyDescent="0.6">
      <c r="A1475" s="1" t="s">
        <v>17</v>
      </c>
      <c r="B1475" t="str">
        <f>VLOOKUP(A1475,'Area Breakdown'!$B$1:$C$33,2,)</f>
        <v>Heliopolis</v>
      </c>
      <c r="C1475" s="2">
        <v>44350</v>
      </c>
      <c r="D1475" s="3">
        <v>444.40000000000003</v>
      </c>
    </row>
    <row r="1476" spans="1:4" ht="14.7" hidden="1" thickBot="1" x14ac:dyDescent="0.6">
      <c r="A1476" s="1" t="s">
        <v>10</v>
      </c>
      <c r="B1476" t="str">
        <f>VLOOKUP(A1476,'Area Breakdown'!$B$1:$C$33,2,)</f>
        <v xml:space="preserve">Alexandria </v>
      </c>
      <c r="C1476" s="2">
        <v>44350</v>
      </c>
      <c r="D1476" s="3">
        <v>443.20000000000005</v>
      </c>
    </row>
    <row r="1477" spans="1:4" ht="14.7" hidden="1" thickBot="1" x14ac:dyDescent="0.6">
      <c r="A1477" s="1" t="s">
        <v>23</v>
      </c>
      <c r="B1477" t="str">
        <f>VLOOKUP(A1477,'Area Breakdown'!$B$1:$C$33,2,)</f>
        <v>Heliopolis</v>
      </c>
      <c r="C1477" s="2">
        <v>44350</v>
      </c>
      <c r="D1477" s="3">
        <v>436.8</v>
      </c>
    </row>
    <row r="1478" spans="1:4" ht="14.7" hidden="1" thickBot="1" x14ac:dyDescent="0.6">
      <c r="A1478" s="1" t="s">
        <v>7</v>
      </c>
      <c r="B1478" t="str">
        <f>VLOOKUP(A1478,'Area Breakdown'!$B$1:$C$33,2,)</f>
        <v>October</v>
      </c>
      <c r="C1478" s="2">
        <v>44350</v>
      </c>
      <c r="D1478" s="3">
        <v>358.40000000000003</v>
      </c>
    </row>
    <row r="1479" spans="1:4" ht="14.7" hidden="1" thickBot="1" x14ac:dyDescent="0.6">
      <c r="A1479" s="1" t="s">
        <v>4</v>
      </c>
      <c r="B1479" t="str">
        <f>VLOOKUP(A1479,'Area Breakdown'!$B$1:$C$33,2,)</f>
        <v>Downtown</v>
      </c>
      <c r="C1479" s="2">
        <v>44350</v>
      </c>
      <c r="D1479" s="3">
        <v>321.20000000000005</v>
      </c>
    </row>
    <row r="1480" spans="1:4" ht="14.7" hidden="1" thickBot="1" x14ac:dyDescent="0.6">
      <c r="A1480" s="1" t="s">
        <v>6</v>
      </c>
      <c r="B1480" t="str">
        <f>VLOOKUP(A1480,'Area Breakdown'!$B$1:$C$33,2,)</f>
        <v xml:space="preserve">Alexandria </v>
      </c>
      <c r="C1480" s="2">
        <v>44350</v>
      </c>
      <c r="D1480" s="3">
        <v>217.20000000000002</v>
      </c>
    </row>
    <row r="1481" spans="1:4" ht="14.7" hidden="1" thickBot="1" x14ac:dyDescent="0.6">
      <c r="A1481" s="1" t="s">
        <v>0</v>
      </c>
      <c r="B1481" t="str">
        <f>VLOOKUP(A1481,'Area Breakdown'!$B$1:$C$33,2,)</f>
        <v>Downtown</v>
      </c>
      <c r="C1481" s="2">
        <v>44350</v>
      </c>
      <c r="D1481" s="3">
        <v>1988</v>
      </c>
    </row>
    <row r="1482" spans="1:4" ht="14.7" hidden="1" thickBot="1" x14ac:dyDescent="0.6">
      <c r="A1482" s="1" t="s">
        <v>21</v>
      </c>
      <c r="B1482" t="str">
        <f>VLOOKUP(A1482,'Area Breakdown'!$B$1:$C$33,2,)</f>
        <v>Heliopolis</v>
      </c>
      <c r="C1482" s="2">
        <v>44350</v>
      </c>
      <c r="D1482" s="3">
        <v>1900</v>
      </c>
    </row>
    <row r="1483" spans="1:4" ht="14.7" hidden="1" thickBot="1" x14ac:dyDescent="0.6">
      <c r="A1483" s="1" t="s">
        <v>20</v>
      </c>
      <c r="B1483" t="str">
        <f>VLOOKUP(A1483,'Area Breakdown'!$B$1:$C$33,2,)</f>
        <v>Downtown</v>
      </c>
      <c r="C1483" s="2">
        <v>44350</v>
      </c>
      <c r="D1483" s="3">
        <v>1661.6000000000001</v>
      </c>
    </row>
    <row r="1484" spans="1:4" ht="14.7" hidden="1" thickBot="1" x14ac:dyDescent="0.6">
      <c r="A1484" s="1" t="s">
        <v>16</v>
      </c>
      <c r="B1484" t="str">
        <f>VLOOKUP(A1484,'Area Breakdown'!$B$1:$C$33,2,)</f>
        <v>Downtown</v>
      </c>
      <c r="C1484" s="2">
        <v>44351</v>
      </c>
      <c r="D1484" s="3">
        <v>1167.2</v>
      </c>
    </row>
    <row r="1485" spans="1:4" ht="14.7" hidden="1" thickBot="1" x14ac:dyDescent="0.6">
      <c r="A1485" s="1" t="s">
        <v>21</v>
      </c>
      <c r="B1485" t="str">
        <f>VLOOKUP(A1485,'Area Breakdown'!$B$1:$C$33,2,)</f>
        <v>Heliopolis</v>
      </c>
      <c r="C1485" s="2">
        <v>44351</v>
      </c>
      <c r="D1485" s="3">
        <v>1061.6000000000001</v>
      </c>
    </row>
    <row r="1486" spans="1:4" ht="14.7" hidden="1" thickBot="1" x14ac:dyDescent="0.6">
      <c r="A1486" s="1" t="s">
        <v>12</v>
      </c>
      <c r="B1486" t="str">
        <f>VLOOKUP(A1486,'Area Breakdown'!$B$1:$C$33,2,)</f>
        <v>New Cairo</v>
      </c>
      <c r="C1486" s="2">
        <v>44351</v>
      </c>
      <c r="D1486" s="3">
        <v>1001.2</v>
      </c>
    </row>
    <row r="1487" spans="1:4" ht="14.7" hidden="1" thickBot="1" x14ac:dyDescent="0.6">
      <c r="A1487" s="1" t="s">
        <v>10</v>
      </c>
      <c r="B1487" t="str">
        <f>VLOOKUP(A1487,'Area Breakdown'!$B$1:$C$33,2,)</f>
        <v xml:space="preserve">Alexandria </v>
      </c>
      <c r="C1487" s="2">
        <v>44351</v>
      </c>
      <c r="D1487" s="3">
        <v>962.80000000000007</v>
      </c>
    </row>
    <row r="1488" spans="1:4" ht="14.7" hidden="1" thickBot="1" x14ac:dyDescent="0.6">
      <c r="A1488" s="1" t="s">
        <v>19</v>
      </c>
      <c r="B1488" t="str">
        <f>VLOOKUP(A1488,'Area Breakdown'!$B$1:$C$33,2,)</f>
        <v>Downtown</v>
      </c>
      <c r="C1488" s="2">
        <v>44351</v>
      </c>
      <c r="D1488" s="3">
        <v>943.6</v>
      </c>
    </row>
    <row r="1489" spans="1:4" ht="14.7" hidden="1" thickBot="1" x14ac:dyDescent="0.6">
      <c r="A1489" s="1" t="s">
        <v>9</v>
      </c>
      <c r="B1489" t="str">
        <f>VLOOKUP(A1489,'Area Breakdown'!$B$1:$C$33,2,)</f>
        <v xml:space="preserve">Alexandria </v>
      </c>
      <c r="C1489" s="2">
        <v>44351</v>
      </c>
      <c r="D1489" s="3">
        <v>856</v>
      </c>
    </row>
    <row r="1490" spans="1:4" ht="14.7" hidden="1" thickBot="1" x14ac:dyDescent="0.6">
      <c r="A1490" s="1" t="s">
        <v>0</v>
      </c>
      <c r="B1490" t="str">
        <f>VLOOKUP(A1490,'Area Breakdown'!$B$1:$C$33,2,)</f>
        <v>Downtown</v>
      </c>
      <c r="C1490" s="2">
        <v>44351</v>
      </c>
      <c r="D1490" s="3">
        <v>847.2</v>
      </c>
    </row>
    <row r="1491" spans="1:4" ht="14.7" hidden="1" thickBot="1" x14ac:dyDescent="0.6">
      <c r="A1491" s="1" t="s">
        <v>24</v>
      </c>
      <c r="B1491" t="str">
        <f>VLOOKUP(A1491,'Area Breakdown'!$B$1:$C$33,2,)</f>
        <v>October</v>
      </c>
      <c r="C1491" s="2">
        <v>44351</v>
      </c>
      <c r="D1491" s="3">
        <v>844.40000000000009</v>
      </c>
    </row>
    <row r="1492" spans="1:4" ht="14.7" hidden="1" thickBot="1" x14ac:dyDescent="0.6">
      <c r="A1492" s="1" t="s">
        <v>20</v>
      </c>
      <c r="B1492" t="str">
        <f>VLOOKUP(A1492,'Area Breakdown'!$B$1:$C$33,2,)</f>
        <v>Downtown</v>
      </c>
      <c r="C1492" s="2">
        <v>44351</v>
      </c>
      <c r="D1492" s="3">
        <v>816.40000000000009</v>
      </c>
    </row>
    <row r="1493" spans="1:4" ht="14.7" hidden="1" thickBot="1" x14ac:dyDescent="0.6">
      <c r="A1493" s="1" t="s">
        <v>25</v>
      </c>
      <c r="B1493" t="str">
        <f>VLOOKUP(A1493,'Area Breakdown'!$B$1:$C$33,2,)</f>
        <v>October</v>
      </c>
      <c r="C1493" s="2">
        <v>44351</v>
      </c>
      <c r="D1493" s="3">
        <v>708</v>
      </c>
    </row>
    <row r="1494" spans="1:4" ht="14.7" hidden="1" thickBot="1" x14ac:dyDescent="0.6">
      <c r="A1494" s="1" t="s">
        <v>3</v>
      </c>
      <c r="B1494" t="str">
        <f>VLOOKUP(A1494,'Area Breakdown'!$B$1:$C$33,2,)</f>
        <v>Downtown</v>
      </c>
      <c r="C1494" s="2">
        <v>44351</v>
      </c>
      <c r="D1494" s="3">
        <v>601.6</v>
      </c>
    </row>
    <row r="1495" spans="1:4" ht="14.7" hidden="1" thickBot="1" x14ac:dyDescent="0.6">
      <c r="A1495" s="1" t="s">
        <v>11</v>
      </c>
      <c r="B1495" t="str">
        <f>VLOOKUP(A1495,'Area Breakdown'!$B$1:$C$33,2,)</f>
        <v>New Cairo</v>
      </c>
      <c r="C1495" s="2">
        <v>44351</v>
      </c>
      <c r="D1495" s="3">
        <v>504.8</v>
      </c>
    </row>
    <row r="1496" spans="1:4" ht="14.7" hidden="1" thickBot="1" x14ac:dyDescent="0.6">
      <c r="A1496" s="1" t="s">
        <v>6</v>
      </c>
      <c r="B1496" t="str">
        <f>VLOOKUP(A1496,'Area Breakdown'!$B$1:$C$33,2,)</f>
        <v xml:space="preserve">Alexandria </v>
      </c>
      <c r="C1496" s="2">
        <v>44351</v>
      </c>
      <c r="D1496" s="3">
        <v>501.6</v>
      </c>
    </row>
    <row r="1497" spans="1:4" ht="14.7" hidden="1" thickBot="1" x14ac:dyDescent="0.6">
      <c r="A1497" s="1" t="s">
        <v>1</v>
      </c>
      <c r="B1497" t="str">
        <f>VLOOKUP(A1497,'Area Breakdown'!$B$1:$C$33,2,)</f>
        <v>Downtown</v>
      </c>
      <c r="C1497" s="2">
        <v>44351</v>
      </c>
      <c r="D1497" s="3">
        <v>468.8</v>
      </c>
    </row>
    <row r="1498" spans="1:4" ht="14.7" hidden="1" thickBot="1" x14ac:dyDescent="0.6">
      <c r="A1498" s="1" t="s">
        <v>17</v>
      </c>
      <c r="B1498" t="str">
        <f>VLOOKUP(A1498,'Area Breakdown'!$B$1:$C$33,2,)</f>
        <v>Heliopolis</v>
      </c>
      <c r="C1498" s="2">
        <v>44351</v>
      </c>
      <c r="D1498" s="3">
        <v>434.8</v>
      </c>
    </row>
    <row r="1499" spans="1:4" ht="14.7" hidden="1" thickBot="1" x14ac:dyDescent="0.6">
      <c r="A1499" s="1" t="s">
        <v>13</v>
      </c>
      <c r="B1499" t="str">
        <f>VLOOKUP(A1499,'Area Breakdown'!$B$1:$C$33,2,)</f>
        <v>Heliopolis</v>
      </c>
      <c r="C1499" s="2">
        <v>44351</v>
      </c>
      <c r="D1499" s="3">
        <v>433.6</v>
      </c>
    </row>
    <row r="1500" spans="1:4" ht="14.7" hidden="1" thickBot="1" x14ac:dyDescent="0.6">
      <c r="A1500" s="1" t="s">
        <v>15</v>
      </c>
      <c r="B1500" t="str">
        <f>VLOOKUP(A1500,'Area Breakdown'!$B$1:$C$33,2,)</f>
        <v>Heliopolis</v>
      </c>
      <c r="C1500" s="2">
        <v>44351</v>
      </c>
      <c r="D1500" s="3">
        <v>349.6</v>
      </c>
    </row>
    <row r="1501" spans="1:4" ht="14.7" hidden="1" thickBot="1" x14ac:dyDescent="0.6">
      <c r="A1501" s="1" t="s">
        <v>27</v>
      </c>
      <c r="B1501" t="str">
        <f>VLOOKUP(A1501,'Area Breakdown'!$B$1:$C$33,2,)</f>
        <v xml:space="preserve">Alexandria </v>
      </c>
      <c r="C1501" s="2">
        <v>44351</v>
      </c>
      <c r="D1501" s="3">
        <v>346</v>
      </c>
    </row>
    <row r="1502" spans="1:4" ht="14.7" hidden="1" thickBot="1" x14ac:dyDescent="0.6">
      <c r="A1502" s="1" t="s">
        <v>8</v>
      </c>
      <c r="B1502" t="str">
        <f>VLOOKUP(A1502,'Area Breakdown'!$B$1:$C$33,2,)</f>
        <v>Heliopolis</v>
      </c>
      <c r="C1502" s="2">
        <v>44351</v>
      </c>
      <c r="D1502" s="3">
        <v>236.8</v>
      </c>
    </row>
    <row r="1503" spans="1:4" ht="14.7" hidden="1" thickBot="1" x14ac:dyDescent="0.6">
      <c r="A1503" s="1" t="s">
        <v>4</v>
      </c>
      <c r="B1503" t="str">
        <f>VLOOKUP(A1503,'Area Breakdown'!$B$1:$C$33,2,)</f>
        <v>Downtown</v>
      </c>
      <c r="C1503" s="2">
        <v>44351</v>
      </c>
      <c r="D1503" s="3">
        <v>236.8</v>
      </c>
    </row>
    <row r="1504" spans="1:4" ht="14.7" hidden="1" thickBot="1" x14ac:dyDescent="0.6">
      <c r="A1504" s="1" t="s">
        <v>7</v>
      </c>
      <c r="B1504" t="str">
        <f>VLOOKUP(A1504,'Area Breakdown'!$B$1:$C$33,2,)</f>
        <v>October</v>
      </c>
      <c r="C1504" s="2">
        <v>44351</v>
      </c>
      <c r="D1504" s="3">
        <v>233.60000000000002</v>
      </c>
    </row>
    <row r="1505" spans="1:4" ht="14.7" hidden="1" thickBot="1" x14ac:dyDescent="0.6">
      <c r="A1505" s="1" t="s">
        <v>2</v>
      </c>
      <c r="B1505" t="str">
        <f>VLOOKUP(A1505,'Area Breakdown'!$B$1:$C$33,2,)</f>
        <v>Downtown</v>
      </c>
      <c r="C1505" s="2">
        <v>44351</v>
      </c>
      <c r="D1505" s="3">
        <v>228.4</v>
      </c>
    </row>
    <row r="1506" spans="1:4" ht="14.7" hidden="1" thickBot="1" x14ac:dyDescent="0.6">
      <c r="A1506" s="1" t="s">
        <v>23</v>
      </c>
      <c r="B1506" t="str">
        <f>VLOOKUP(A1506,'Area Breakdown'!$B$1:$C$33,2,)</f>
        <v>Heliopolis</v>
      </c>
      <c r="C1506" s="2">
        <v>44351</v>
      </c>
      <c r="D1506" s="3">
        <v>193.60000000000002</v>
      </c>
    </row>
    <row r="1507" spans="1:4" ht="14.7" hidden="1" thickBot="1" x14ac:dyDescent="0.6">
      <c r="A1507" s="1" t="s">
        <v>22</v>
      </c>
      <c r="B1507" t="str">
        <f>VLOOKUP(A1507,'Area Breakdown'!$B$1:$C$33,2,)</f>
        <v>Heliopolis</v>
      </c>
      <c r="C1507" s="2">
        <v>44351</v>
      </c>
      <c r="D1507" s="3">
        <v>1658.4</v>
      </c>
    </row>
    <row r="1508" spans="1:4" ht="14.7" hidden="1" thickBot="1" x14ac:dyDescent="0.6">
      <c r="A1508" s="1" t="s">
        <v>22</v>
      </c>
      <c r="B1508" t="str">
        <f>VLOOKUP(A1508,'Area Breakdown'!$B$1:$C$33,2,)</f>
        <v>Heliopolis</v>
      </c>
      <c r="C1508" s="2">
        <v>44352</v>
      </c>
      <c r="D1508" s="3">
        <v>1530</v>
      </c>
    </row>
    <row r="1509" spans="1:4" ht="14.7" hidden="1" thickBot="1" x14ac:dyDescent="0.6">
      <c r="A1509" s="1" t="s">
        <v>25</v>
      </c>
      <c r="B1509" t="str">
        <f>VLOOKUP(A1509,'Area Breakdown'!$B$1:$C$33,2,)</f>
        <v>October</v>
      </c>
      <c r="C1509" s="2">
        <v>44352</v>
      </c>
      <c r="D1509" s="3">
        <v>1364.4</v>
      </c>
    </row>
    <row r="1510" spans="1:4" ht="14.7" hidden="1" thickBot="1" x14ac:dyDescent="0.6">
      <c r="A1510" s="1" t="s">
        <v>24</v>
      </c>
      <c r="B1510" t="str">
        <f>VLOOKUP(A1510,'Area Breakdown'!$B$1:$C$33,2,)</f>
        <v>October</v>
      </c>
      <c r="C1510" s="2">
        <v>44352</v>
      </c>
      <c r="D1510" s="3">
        <v>1105.6000000000001</v>
      </c>
    </row>
    <row r="1511" spans="1:4" ht="14.7" hidden="1" thickBot="1" x14ac:dyDescent="0.6">
      <c r="A1511" s="1" t="s">
        <v>12</v>
      </c>
      <c r="B1511" t="str">
        <f>VLOOKUP(A1511,'Area Breakdown'!$B$1:$C$33,2,)</f>
        <v>New Cairo</v>
      </c>
      <c r="C1511" s="2">
        <v>44352</v>
      </c>
      <c r="D1511" s="3">
        <v>1064.4000000000001</v>
      </c>
    </row>
    <row r="1512" spans="1:4" ht="14.7" hidden="1" thickBot="1" x14ac:dyDescent="0.6">
      <c r="A1512" s="1" t="s">
        <v>21</v>
      </c>
      <c r="B1512" t="str">
        <f>VLOOKUP(A1512,'Area Breakdown'!$B$1:$C$33,2,)</f>
        <v>Heliopolis</v>
      </c>
      <c r="C1512" s="2">
        <v>44352</v>
      </c>
      <c r="D1512" s="3">
        <v>945.2</v>
      </c>
    </row>
    <row r="1513" spans="1:4" ht="14.7" hidden="1" thickBot="1" x14ac:dyDescent="0.6">
      <c r="A1513" s="1" t="s">
        <v>16</v>
      </c>
      <c r="B1513" t="str">
        <f>VLOOKUP(A1513,'Area Breakdown'!$B$1:$C$33,2,)</f>
        <v>Downtown</v>
      </c>
      <c r="C1513" s="2">
        <v>44352</v>
      </c>
      <c r="D1513" s="3">
        <v>802.80000000000007</v>
      </c>
    </row>
    <row r="1514" spans="1:4" ht="14.7" hidden="1" thickBot="1" x14ac:dyDescent="0.6">
      <c r="A1514" s="1" t="s">
        <v>19</v>
      </c>
      <c r="B1514" t="str">
        <f>VLOOKUP(A1514,'Area Breakdown'!$B$1:$C$33,2,)</f>
        <v>Downtown</v>
      </c>
      <c r="C1514" s="2">
        <v>44352</v>
      </c>
      <c r="D1514" s="3">
        <v>724.40000000000009</v>
      </c>
    </row>
    <row r="1515" spans="1:4" ht="14.7" hidden="1" thickBot="1" x14ac:dyDescent="0.6">
      <c r="A1515" s="1" t="s">
        <v>20</v>
      </c>
      <c r="B1515" t="str">
        <f>VLOOKUP(A1515,'Area Breakdown'!$B$1:$C$33,2,)</f>
        <v>Downtown</v>
      </c>
      <c r="C1515" s="2">
        <v>44352</v>
      </c>
      <c r="D1515" s="3">
        <v>675.6</v>
      </c>
    </row>
    <row r="1516" spans="1:4" ht="14.7" hidden="1" thickBot="1" x14ac:dyDescent="0.6">
      <c r="A1516" s="1" t="s">
        <v>10</v>
      </c>
      <c r="B1516" t="str">
        <f>VLOOKUP(A1516,'Area Breakdown'!$B$1:$C$33,2,)</f>
        <v xml:space="preserve">Alexandria </v>
      </c>
      <c r="C1516" s="2">
        <v>44352</v>
      </c>
      <c r="D1516" s="3">
        <v>636</v>
      </c>
    </row>
    <row r="1517" spans="1:4" ht="14.7" hidden="1" thickBot="1" x14ac:dyDescent="0.6">
      <c r="A1517" s="1" t="s">
        <v>0</v>
      </c>
      <c r="B1517" t="str">
        <f>VLOOKUP(A1517,'Area Breakdown'!$B$1:$C$33,2,)</f>
        <v>Downtown</v>
      </c>
      <c r="C1517" s="2">
        <v>44352</v>
      </c>
      <c r="D1517" s="3">
        <v>635.20000000000005</v>
      </c>
    </row>
    <row r="1518" spans="1:4" ht="14.7" hidden="1" thickBot="1" x14ac:dyDescent="0.6">
      <c r="A1518" s="1" t="s">
        <v>9</v>
      </c>
      <c r="B1518" t="str">
        <f>VLOOKUP(A1518,'Area Breakdown'!$B$1:$C$33,2,)</f>
        <v xml:space="preserve">Alexandria </v>
      </c>
      <c r="C1518" s="2">
        <v>44352</v>
      </c>
      <c r="D1518" s="3">
        <v>618</v>
      </c>
    </row>
    <row r="1519" spans="1:4" ht="14.7" hidden="1" thickBot="1" x14ac:dyDescent="0.6">
      <c r="A1519" s="1" t="s">
        <v>3</v>
      </c>
      <c r="B1519" t="str">
        <f>VLOOKUP(A1519,'Area Breakdown'!$B$1:$C$33,2,)</f>
        <v>Downtown</v>
      </c>
      <c r="C1519" s="2">
        <v>44352</v>
      </c>
      <c r="D1519" s="3">
        <v>594.80000000000007</v>
      </c>
    </row>
    <row r="1520" spans="1:4" ht="14.7" hidden="1" thickBot="1" x14ac:dyDescent="0.6">
      <c r="A1520" s="1" t="s">
        <v>11</v>
      </c>
      <c r="B1520" t="str">
        <f>VLOOKUP(A1520,'Area Breakdown'!$B$1:$C$33,2,)</f>
        <v>New Cairo</v>
      </c>
      <c r="C1520" s="2">
        <v>44352</v>
      </c>
      <c r="D1520" s="3">
        <v>548.80000000000007</v>
      </c>
    </row>
    <row r="1521" spans="1:4" ht="14.7" hidden="1" thickBot="1" x14ac:dyDescent="0.6">
      <c r="A1521" s="1" t="s">
        <v>2</v>
      </c>
      <c r="B1521" t="str">
        <f>VLOOKUP(A1521,'Area Breakdown'!$B$1:$C$33,2,)</f>
        <v>Downtown</v>
      </c>
      <c r="C1521" s="2">
        <v>44352</v>
      </c>
      <c r="D1521" s="3">
        <v>507.20000000000005</v>
      </c>
    </row>
    <row r="1522" spans="1:4" ht="14.7" hidden="1" thickBot="1" x14ac:dyDescent="0.6">
      <c r="A1522" s="1" t="s">
        <v>7</v>
      </c>
      <c r="B1522" t="str">
        <f>VLOOKUP(A1522,'Area Breakdown'!$B$1:$C$33,2,)</f>
        <v>October</v>
      </c>
      <c r="C1522" s="2">
        <v>44352</v>
      </c>
      <c r="D1522" s="3">
        <v>433.6</v>
      </c>
    </row>
    <row r="1523" spans="1:4" ht="14.7" hidden="1" thickBot="1" x14ac:dyDescent="0.6">
      <c r="A1523" s="1" t="s">
        <v>1</v>
      </c>
      <c r="B1523" t="str">
        <f>VLOOKUP(A1523,'Area Breakdown'!$B$1:$C$33,2,)</f>
        <v>Downtown</v>
      </c>
      <c r="C1523" s="2">
        <v>44352</v>
      </c>
      <c r="D1523" s="3">
        <v>418.40000000000003</v>
      </c>
    </row>
    <row r="1524" spans="1:4" ht="14.7" hidden="1" thickBot="1" x14ac:dyDescent="0.6">
      <c r="A1524" s="1" t="s">
        <v>8</v>
      </c>
      <c r="B1524" t="str">
        <f>VLOOKUP(A1524,'Area Breakdown'!$B$1:$C$33,2,)</f>
        <v>Heliopolis</v>
      </c>
      <c r="C1524" s="2">
        <v>44352</v>
      </c>
      <c r="D1524" s="3">
        <v>401.20000000000005</v>
      </c>
    </row>
    <row r="1525" spans="1:4" ht="14.7" hidden="1" thickBot="1" x14ac:dyDescent="0.6">
      <c r="A1525" s="1" t="s">
        <v>13</v>
      </c>
      <c r="B1525" t="str">
        <f>VLOOKUP(A1525,'Area Breakdown'!$B$1:$C$33,2,)</f>
        <v>Heliopolis</v>
      </c>
      <c r="C1525" s="2">
        <v>44352</v>
      </c>
      <c r="D1525" s="3">
        <v>395.6</v>
      </c>
    </row>
    <row r="1526" spans="1:4" ht="14.7" hidden="1" thickBot="1" x14ac:dyDescent="0.6">
      <c r="A1526" s="1" t="s">
        <v>17</v>
      </c>
      <c r="B1526" t="str">
        <f>VLOOKUP(A1526,'Area Breakdown'!$B$1:$C$33,2,)</f>
        <v>Heliopolis</v>
      </c>
      <c r="C1526" s="2">
        <v>44352</v>
      </c>
      <c r="D1526" s="3">
        <v>368.40000000000003</v>
      </c>
    </row>
    <row r="1527" spans="1:4" ht="14.7" hidden="1" thickBot="1" x14ac:dyDescent="0.6">
      <c r="A1527" s="1" t="s">
        <v>23</v>
      </c>
      <c r="B1527" t="str">
        <f>VLOOKUP(A1527,'Area Breakdown'!$B$1:$C$33,2,)</f>
        <v>Heliopolis</v>
      </c>
      <c r="C1527" s="2">
        <v>44352</v>
      </c>
      <c r="D1527" s="3">
        <v>266</v>
      </c>
    </row>
    <row r="1528" spans="1:4" ht="14.7" hidden="1" thickBot="1" x14ac:dyDescent="0.6">
      <c r="A1528" s="1" t="s">
        <v>4</v>
      </c>
      <c r="B1528" t="str">
        <f>VLOOKUP(A1528,'Area Breakdown'!$B$1:$C$33,2,)</f>
        <v>Downtown</v>
      </c>
      <c r="C1528" s="2">
        <v>44352</v>
      </c>
      <c r="D1528" s="3">
        <v>205.20000000000002</v>
      </c>
    </row>
    <row r="1529" spans="1:4" ht="14.7" hidden="1" thickBot="1" x14ac:dyDescent="0.6">
      <c r="A1529" s="1" t="s">
        <v>6</v>
      </c>
      <c r="B1529" t="str">
        <f>VLOOKUP(A1529,'Area Breakdown'!$B$1:$C$33,2,)</f>
        <v xml:space="preserve">Alexandria </v>
      </c>
      <c r="C1529" s="2">
        <v>44352</v>
      </c>
      <c r="D1529" s="3">
        <v>194.8</v>
      </c>
    </row>
    <row r="1530" spans="1:4" ht="14.7" hidden="1" thickBot="1" x14ac:dyDescent="0.6">
      <c r="A1530" s="1" t="s">
        <v>12</v>
      </c>
      <c r="B1530" t="str">
        <f>VLOOKUP(A1530,'Area Breakdown'!$B$1:$C$33,2,)</f>
        <v>New Cairo</v>
      </c>
      <c r="C1530" s="2">
        <v>44353</v>
      </c>
      <c r="D1530" s="3">
        <v>1504.4</v>
      </c>
    </row>
    <row r="1531" spans="1:4" ht="14.7" hidden="1" thickBot="1" x14ac:dyDescent="0.6">
      <c r="A1531" s="1" t="s">
        <v>0</v>
      </c>
      <c r="B1531" t="str">
        <f>VLOOKUP(A1531,'Area Breakdown'!$B$1:$C$33,2,)</f>
        <v>Downtown</v>
      </c>
      <c r="C1531" s="2">
        <v>44353</v>
      </c>
      <c r="D1531" s="3">
        <v>1448.4</v>
      </c>
    </row>
    <row r="1532" spans="1:4" ht="14.7" hidden="1" thickBot="1" x14ac:dyDescent="0.6">
      <c r="A1532" s="1" t="s">
        <v>22</v>
      </c>
      <c r="B1532" t="str">
        <f>VLOOKUP(A1532,'Area Breakdown'!$B$1:$C$33,2,)</f>
        <v>Heliopolis</v>
      </c>
      <c r="C1532" s="2">
        <v>44353</v>
      </c>
      <c r="D1532" s="3">
        <v>1429.2</v>
      </c>
    </row>
    <row r="1533" spans="1:4" ht="14.7" hidden="1" thickBot="1" x14ac:dyDescent="0.6">
      <c r="A1533" s="1" t="s">
        <v>16</v>
      </c>
      <c r="B1533" t="str">
        <f>VLOOKUP(A1533,'Area Breakdown'!$B$1:$C$33,2,)</f>
        <v>Downtown</v>
      </c>
      <c r="C1533" s="2">
        <v>44353</v>
      </c>
      <c r="D1533" s="3">
        <v>1186</v>
      </c>
    </row>
    <row r="1534" spans="1:4" ht="14.7" hidden="1" thickBot="1" x14ac:dyDescent="0.6">
      <c r="A1534" s="1" t="s">
        <v>11</v>
      </c>
      <c r="B1534" t="str">
        <f>VLOOKUP(A1534,'Area Breakdown'!$B$1:$C$33,2,)</f>
        <v>New Cairo</v>
      </c>
      <c r="C1534" s="2">
        <v>44353</v>
      </c>
      <c r="D1534" s="3">
        <v>1169.2</v>
      </c>
    </row>
    <row r="1535" spans="1:4" ht="14.7" hidden="1" thickBot="1" x14ac:dyDescent="0.6">
      <c r="A1535" s="1" t="s">
        <v>21</v>
      </c>
      <c r="B1535" t="str">
        <f>VLOOKUP(A1535,'Area Breakdown'!$B$1:$C$33,2,)</f>
        <v>Heliopolis</v>
      </c>
      <c r="C1535" s="2">
        <v>44353</v>
      </c>
      <c r="D1535" s="3">
        <v>1135.6000000000001</v>
      </c>
    </row>
    <row r="1536" spans="1:4" ht="14.7" hidden="1" thickBot="1" x14ac:dyDescent="0.6">
      <c r="A1536" s="1" t="s">
        <v>19</v>
      </c>
      <c r="B1536" t="str">
        <f>VLOOKUP(A1536,'Area Breakdown'!$B$1:$C$33,2,)</f>
        <v>Downtown</v>
      </c>
      <c r="C1536" s="2">
        <v>44353</v>
      </c>
      <c r="D1536" s="3">
        <v>1114</v>
      </c>
    </row>
    <row r="1537" spans="1:4" ht="14.7" hidden="1" thickBot="1" x14ac:dyDescent="0.6">
      <c r="A1537" s="1" t="s">
        <v>20</v>
      </c>
      <c r="B1537" t="str">
        <f>VLOOKUP(A1537,'Area Breakdown'!$B$1:$C$33,2,)</f>
        <v>Downtown</v>
      </c>
      <c r="C1537" s="2">
        <v>44353</v>
      </c>
      <c r="D1537" s="3">
        <v>1086</v>
      </c>
    </row>
    <row r="1538" spans="1:4" ht="14.7" hidden="1" thickBot="1" x14ac:dyDescent="0.6">
      <c r="A1538" s="1" t="s">
        <v>25</v>
      </c>
      <c r="B1538" t="str">
        <f>VLOOKUP(A1538,'Area Breakdown'!$B$1:$C$33,2,)</f>
        <v>October</v>
      </c>
      <c r="C1538" s="2">
        <v>44353</v>
      </c>
      <c r="D1538" s="3">
        <v>967.6</v>
      </c>
    </row>
    <row r="1539" spans="1:4" ht="14.7" hidden="1" thickBot="1" x14ac:dyDescent="0.6">
      <c r="A1539" s="1" t="s">
        <v>1</v>
      </c>
      <c r="B1539" t="str">
        <f>VLOOKUP(A1539,'Area Breakdown'!$B$1:$C$33,2,)</f>
        <v>Downtown</v>
      </c>
      <c r="C1539" s="2">
        <v>44353</v>
      </c>
      <c r="D1539" s="3">
        <v>916</v>
      </c>
    </row>
    <row r="1540" spans="1:4" ht="14.7" hidden="1" thickBot="1" x14ac:dyDescent="0.6">
      <c r="A1540" s="1" t="s">
        <v>24</v>
      </c>
      <c r="B1540" t="str">
        <f>VLOOKUP(A1540,'Area Breakdown'!$B$1:$C$33,2,)</f>
        <v>October</v>
      </c>
      <c r="C1540" s="2">
        <v>44353</v>
      </c>
      <c r="D1540" s="3">
        <v>878</v>
      </c>
    </row>
    <row r="1541" spans="1:4" ht="14.7" hidden="1" thickBot="1" x14ac:dyDescent="0.6">
      <c r="A1541" s="1" t="s">
        <v>9</v>
      </c>
      <c r="B1541" t="str">
        <f>VLOOKUP(A1541,'Area Breakdown'!$B$1:$C$33,2,)</f>
        <v xml:space="preserve">Alexandria </v>
      </c>
      <c r="C1541" s="2">
        <v>44353</v>
      </c>
      <c r="D1541" s="3">
        <v>732.80000000000007</v>
      </c>
    </row>
    <row r="1542" spans="1:4" ht="14.7" hidden="1" thickBot="1" x14ac:dyDescent="0.6">
      <c r="A1542" s="1" t="s">
        <v>27</v>
      </c>
      <c r="B1542" t="str">
        <f>VLOOKUP(A1542,'Area Breakdown'!$B$1:$C$33,2,)</f>
        <v xml:space="preserve">Alexandria </v>
      </c>
      <c r="C1542" s="2">
        <v>44353</v>
      </c>
      <c r="D1542" s="3">
        <v>663.6</v>
      </c>
    </row>
    <row r="1543" spans="1:4" ht="14.7" hidden="1" thickBot="1" x14ac:dyDescent="0.6">
      <c r="A1543" s="1" t="s">
        <v>13</v>
      </c>
      <c r="B1543" t="str">
        <f>VLOOKUP(A1543,'Area Breakdown'!$B$1:$C$33,2,)</f>
        <v>Heliopolis</v>
      </c>
      <c r="C1543" s="2">
        <v>44353</v>
      </c>
      <c r="D1543" s="3">
        <v>645.20000000000005</v>
      </c>
    </row>
    <row r="1544" spans="1:4" ht="14.7" hidden="1" thickBot="1" x14ac:dyDescent="0.6">
      <c r="A1544" s="1" t="s">
        <v>2</v>
      </c>
      <c r="B1544" t="str">
        <f>VLOOKUP(A1544,'Area Breakdown'!$B$1:$C$33,2,)</f>
        <v>Downtown</v>
      </c>
      <c r="C1544" s="2">
        <v>44353</v>
      </c>
      <c r="D1544" s="3">
        <v>620.80000000000007</v>
      </c>
    </row>
    <row r="1545" spans="1:4" ht="14.7" hidden="1" thickBot="1" x14ac:dyDescent="0.6">
      <c r="A1545" s="1" t="s">
        <v>4</v>
      </c>
      <c r="B1545" t="str">
        <f>VLOOKUP(A1545,'Area Breakdown'!$B$1:$C$33,2,)</f>
        <v>Downtown</v>
      </c>
      <c r="C1545" s="2">
        <v>44353</v>
      </c>
      <c r="D1545" s="3">
        <v>590.4</v>
      </c>
    </row>
    <row r="1546" spans="1:4" ht="14.7" hidden="1" thickBot="1" x14ac:dyDescent="0.6">
      <c r="A1546" s="1" t="s">
        <v>8</v>
      </c>
      <c r="B1546" t="str">
        <f>VLOOKUP(A1546,'Area Breakdown'!$B$1:$C$33,2,)</f>
        <v>Heliopolis</v>
      </c>
      <c r="C1546" s="2">
        <v>44353</v>
      </c>
      <c r="D1546" s="3">
        <v>564.80000000000007</v>
      </c>
    </row>
    <row r="1547" spans="1:4" ht="14.7" hidden="1" thickBot="1" x14ac:dyDescent="0.6">
      <c r="A1547" s="1" t="s">
        <v>3</v>
      </c>
      <c r="B1547" t="str">
        <f>VLOOKUP(A1547,'Area Breakdown'!$B$1:$C$33,2,)</f>
        <v>Downtown</v>
      </c>
      <c r="C1547" s="2">
        <v>44353</v>
      </c>
      <c r="D1547" s="3">
        <v>529.20000000000005</v>
      </c>
    </row>
    <row r="1548" spans="1:4" ht="14.7" hidden="1" thickBot="1" x14ac:dyDescent="0.6">
      <c r="A1548" s="1" t="s">
        <v>10</v>
      </c>
      <c r="B1548" t="str">
        <f>VLOOKUP(A1548,'Area Breakdown'!$B$1:$C$33,2,)</f>
        <v xml:space="preserve">Alexandria </v>
      </c>
      <c r="C1548" s="2">
        <v>44353</v>
      </c>
      <c r="D1548" s="3">
        <v>402.40000000000003</v>
      </c>
    </row>
    <row r="1549" spans="1:4" ht="14.7" hidden="1" thickBot="1" x14ac:dyDescent="0.6">
      <c r="A1549" s="1" t="s">
        <v>17</v>
      </c>
      <c r="B1549" t="str">
        <f>VLOOKUP(A1549,'Area Breakdown'!$B$1:$C$33,2,)</f>
        <v>Heliopolis</v>
      </c>
      <c r="C1549" s="2">
        <v>44353</v>
      </c>
      <c r="D1549" s="3">
        <v>365.6</v>
      </c>
    </row>
    <row r="1550" spans="1:4" ht="14.7" hidden="1" thickBot="1" x14ac:dyDescent="0.6">
      <c r="A1550" s="1" t="s">
        <v>23</v>
      </c>
      <c r="B1550" t="str">
        <f>VLOOKUP(A1550,'Area Breakdown'!$B$1:$C$33,2,)</f>
        <v>Heliopolis</v>
      </c>
      <c r="C1550" s="2">
        <v>44353</v>
      </c>
      <c r="D1550" s="3">
        <v>302.8</v>
      </c>
    </row>
    <row r="1551" spans="1:4" ht="14.7" hidden="1" thickBot="1" x14ac:dyDescent="0.6">
      <c r="A1551" s="1" t="s">
        <v>7</v>
      </c>
      <c r="B1551" t="str">
        <f>VLOOKUP(A1551,'Area Breakdown'!$B$1:$C$33,2,)</f>
        <v>October</v>
      </c>
      <c r="C1551" s="2">
        <v>44353</v>
      </c>
      <c r="D1551" s="3">
        <v>225.20000000000002</v>
      </c>
    </row>
    <row r="1552" spans="1:4" ht="14.7" hidden="1" thickBot="1" x14ac:dyDescent="0.6">
      <c r="A1552" s="1" t="s">
        <v>15</v>
      </c>
      <c r="B1552" t="str">
        <f>VLOOKUP(A1552,'Area Breakdown'!$B$1:$C$33,2,)</f>
        <v>Heliopolis</v>
      </c>
      <c r="C1552" s="2">
        <v>44353</v>
      </c>
      <c r="D1552" s="3">
        <v>216</v>
      </c>
    </row>
    <row r="1553" spans="1:4" ht="14.7" hidden="1" thickBot="1" x14ac:dyDescent="0.6">
      <c r="A1553" s="1" t="s">
        <v>6</v>
      </c>
      <c r="B1553" t="str">
        <f>VLOOKUP(A1553,'Area Breakdown'!$B$1:$C$33,2,)</f>
        <v xml:space="preserve">Alexandria </v>
      </c>
      <c r="C1553" s="2">
        <v>44353</v>
      </c>
      <c r="D1553" s="3">
        <v>114.80000000000001</v>
      </c>
    </row>
    <row r="1554" spans="1:4" ht="14.7" hidden="1" thickBot="1" x14ac:dyDescent="0.6">
      <c r="A1554" s="1" t="s">
        <v>22</v>
      </c>
      <c r="B1554" t="str">
        <f>VLOOKUP(A1554,'Area Breakdown'!$B$1:$C$33,2,)</f>
        <v>Heliopolis</v>
      </c>
      <c r="C1554" s="2">
        <v>44354</v>
      </c>
      <c r="D1554" s="3">
        <v>1232.4000000000001</v>
      </c>
    </row>
    <row r="1555" spans="1:4" ht="14.7" hidden="1" thickBot="1" x14ac:dyDescent="0.6">
      <c r="A1555" s="1" t="s">
        <v>11</v>
      </c>
      <c r="B1555" t="str">
        <f>VLOOKUP(A1555,'Area Breakdown'!$B$1:$C$33,2,)</f>
        <v>New Cairo</v>
      </c>
      <c r="C1555" s="2">
        <v>44354</v>
      </c>
      <c r="D1555" s="3">
        <v>1112.4000000000001</v>
      </c>
    </row>
    <row r="1556" spans="1:4" ht="14.7" hidden="1" thickBot="1" x14ac:dyDescent="0.6">
      <c r="A1556" s="1" t="s">
        <v>1</v>
      </c>
      <c r="B1556" t="str">
        <f>VLOOKUP(A1556,'Area Breakdown'!$B$1:$C$33,2,)</f>
        <v>Downtown</v>
      </c>
      <c r="C1556" s="2">
        <v>44354</v>
      </c>
      <c r="D1556" s="3">
        <v>1100.4000000000001</v>
      </c>
    </row>
    <row r="1557" spans="1:4" ht="14.7" hidden="1" thickBot="1" x14ac:dyDescent="0.6">
      <c r="A1557" s="1" t="s">
        <v>19</v>
      </c>
      <c r="B1557" t="str">
        <f>VLOOKUP(A1557,'Area Breakdown'!$B$1:$C$33,2,)</f>
        <v>Downtown</v>
      </c>
      <c r="C1557" s="2">
        <v>44354</v>
      </c>
      <c r="D1557" s="3">
        <v>1007.6</v>
      </c>
    </row>
    <row r="1558" spans="1:4" ht="14.7" hidden="1" thickBot="1" x14ac:dyDescent="0.6">
      <c r="A1558" s="1" t="s">
        <v>3</v>
      </c>
      <c r="B1558" t="str">
        <f>VLOOKUP(A1558,'Area Breakdown'!$B$1:$C$33,2,)</f>
        <v>Downtown</v>
      </c>
      <c r="C1558" s="2">
        <v>44354</v>
      </c>
      <c r="D1558" s="3">
        <v>1004</v>
      </c>
    </row>
    <row r="1559" spans="1:4" ht="14.7" hidden="1" thickBot="1" x14ac:dyDescent="0.6">
      <c r="A1559" s="1" t="s">
        <v>27</v>
      </c>
      <c r="B1559" t="str">
        <f>VLOOKUP(A1559,'Area Breakdown'!$B$1:$C$33,2,)</f>
        <v xml:space="preserve">Alexandria </v>
      </c>
      <c r="C1559" s="2">
        <v>44354</v>
      </c>
      <c r="D1559" s="3">
        <v>944.40000000000009</v>
      </c>
    </row>
    <row r="1560" spans="1:4" ht="14.7" hidden="1" thickBot="1" x14ac:dyDescent="0.6">
      <c r="A1560" s="1" t="s">
        <v>16</v>
      </c>
      <c r="B1560" t="str">
        <f>VLOOKUP(A1560,'Area Breakdown'!$B$1:$C$33,2,)</f>
        <v>Downtown</v>
      </c>
      <c r="C1560" s="2">
        <v>44354</v>
      </c>
      <c r="D1560" s="3">
        <v>940.40000000000009</v>
      </c>
    </row>
    <row r="1561" spans="1:4" ht="14.7" hidden="1" thickBot="1" x14ac:dyDescent="0.6">
      <c r="A1561" s="1" t="s">
        <v>25</v>
      </c>
      <c r="B1561" t="str">
        <f>VLOOKUP(A1561,'Area Breakdown'!$B$1:$C$33,2,)</f>
        <v>October</v>
      </c>
      <c r="C1561" s="2">
        <v>44354</v>
      </c>
      <c r="D1561" s="3">
        <v>931.2</v>
      </c>
    </row>
    <row r="1562" spans="1:4" ht="14.7" hidden="1" thickBot="1" x14ac:dyDescent="0.6">
      <c r="A1562" s="1" t="s">
        <v>24</v>
      </c>
      <c r="B1562" t="str">
        <f>VLOOKUP(A1562,'Area Breakdown'!$B$1:$C$33,2,)</f>
        <v>October</v>
      </c>
      <c r="C1562" s="2">
        <v>44354</v>
      </c>
      <c r="D1562" s="3">
        <v>890.80000000000007</v>
      </c>
    </row>
    <row r="1563" spans="1:4" ht="14.7" hidden="1" thickBot="1" x14ac:dyDescent="0.6">
      <c r="A1563" s="1" t="s">
        <v>0</v>
      </c>
      <c r="B1563" t="str">
        <f>VLOOKUP(A1563,'Area Breakdown'!$B$1:$C$33,2,)</f>
        <v>Downtown</v>
      </c>
      <c r="C1563" s="2">
        <v>44354</v>
      </c>
      <c r="D1563" s="3">
        <v>885.2</v>
      </c>
    </row>
    <row r="1564" spans="1:4" ht="14.7" hidden="1" thickBot="1" x14ac:dyDescent="0.6">
      <c r="A1564" s="1" t="s">
        <v>17</v>
      </c>
      <c r="B1564" t="str">
        <f>VLOOKUP(A1564,'Area Breakdown'!$B$1:$C$33,2,)</f>
        <v>Heliopolis</v>
      </c>
      <c r="C1564" s="2">
        <v>44354</v>
      </c>
      <c r="D1564" s="3">
        <v>816</v>
      </c>
    </row>
    <row r="1565" spans="1:4" ht="14.7" hidden="1" thickBot="1" x14ac:dyDescent="0.6">
      <c r="A1565" s="1" t="s">
        <v>13</v>
      </c>
      <c r="B1565" t="str">
        <f>VLOOKUP(A1565,'Area Breakdown'!$B$1:$C$33,2,)</f>
        <v>Heliopolis</v>
      </c>
      <c r="C1565" s="2">
        <v>44354</v>
      </c>
      <c r="D1565" s="3">
        <v>792.40000000000009</v>
      </c>
    </row>
    <row r="1566" spans="1:4" ht="14.7" hidden="1" thickBot="1" x14ac:dyDescent="0.6">
      <c r="A1566" s="1" t="s">
        <v>2</v>
      </c>
      <c r="B1566" t="str">
        <f>VLOOKUP(A1566,'Area Breakdown'!$B$1:$C$33,2,)</f>
        <v>Downtown</v>
      </c>
      <c r="C1566" s="2">
        <v>44354</v>
      </c>
      <c r="D1566" s="3">
        <v>720</v>
      </c>
    </row>
    <row r="1567" spans="1:4" ht="14.7" hidden="1" thickBot="1" x14ac:dyDescent="0.6">
      <c r="A1567" s="1" t="s">
        <v>9</v>
      </c>
      <c r="B1567" t="str">
        <f>VLOOKUP(A1567,'Area Breakdown'!$B$1:$C$33,2,)</f>
        <v xml:space="preserve">Alexandria </v>
      </c>
      <c r="C1567" s="2">
        <v>44354</v>
      </c>
      <c r="D1567" s="3">
        <v>657.6</v>
      </c>
    </row>
    <row r="1568" spans="1:4" ht="14.7" hidden="1" thickBot="1" x14ac:dyDescent="0.6">
      <c r="A1568" s="1" t="s">
        <v>10</v>
      </c>
      <c r="B1568" t="str">
        <f>VLOOKUP(A1568,'Area Breakdown'!$B$1:$C$33,2,)</f>
        <v xml:space="preserve">Alexandria </v>
      </c>
      <c r="C1568" s="2">
        <v>44354</v>
      </c>
      <c r="D1568" s="3">
        <v>570.4</v>
      </c>
    </row>
    <row r="1569" spans="1:4" ht="14.7" hidden="1" thickBot="1" x14ac:dyDescent="0.6">
      <c r="A1569" s="1" t="s">
        <v>8</v>
      </c>
      <c r="B1569" t="str">
        <f>VLOOKUP(A1569,'Area Breakdown'!$B$1:$C$33,2,)</f>
        <v>Heliopolis</v>
      </c>
      <c r="C1569" s="2">
        <v>44354</v>
      </c>
      <c r="D1569" s="3">
        <v>548.80000000000007</v>
      </c>
    </row>
    <row r="1570" spans="1:4" ht="14.7" hidden="1" thickBot="1" x14ac:dyDescent="0.6">
      <c r="A1570" s="1" t="s">
        <v>6</v>
      </c>
      <c r="B1570" t="str">
        <f>VLOOKUP(A1570,'Area Breakdown'!$B$1:$C$33,2,)</f>
        <v xml:space="preserve">Alexandria </v>
      </c>
      <c r="C1570" s="2">
        <v>44354</v>
      </c>
      <c r="D1570" s="3">
        <v>429.20000000000005</v>
      </c>
    </row>
    <row r="1571" spans="1:4" ht="14.7" hidden="1" thickBot="1" x14ac:dyDescent="0.6">
      <c r="A1571" s="1" t="s">
        <v>15</v>
      </c>
      <c r="B1571" t="str">
        <f>VLOOKUP(A1571,'Area Breakdown'!$B$1:$C$33,2,)</f>
        <v>Heliopolis</v>
      </c>
      <c r="C1571" s="2">
        <v>44354</v>
      </c>
      <c r="D1571" s="3">
        <v>420.8</v>
      </c>
    </row>
    <row r="1572" spans="1:4" ht="14.7" hidden="1" thickBot="1" x14ac:dyDescent="0.6">
      <c r="A1572" s="1" t="s">
        <v>4</v>
      </c>
      <c r="B1572" t="str">
        <f>VLOOKUP(A1572,'Area Breakdown'!$B$1:$C$33,2,)</f>
        <v>Downtown</v>
      </c>
      <c r="C1572" s="2">
        <v>44354</v>
      </c>
      <c r="D1572" s="3">
        <v>325.60000000000002</v>
      </c>
    </row>
    <row r="1573" spans="1:4" ht="14.7" hidden="1" thickBot="1" x14ac:dyDescent="0.6">
      <c r="A1573" s="1" t="s">
        <v>23</v>
      </c>
      <c r="B1573" t="str">
        <f>VLOOKUP(A1573,'Area Breakdown'!$B$1:$C$33,2,)</f>
        <v>Heliopolis</v>
      </c>
      <c r="C1573" s="2">
        <v>44354</v>
      </c>
      <c r="D1573" s="3">
        <v>218</v>
      </c>
    </row>
    <row r="1574" spans="1:4" ht="14.7" hidden="1" thickBot="1" x14ac:dyDescent="0.6">
      <c r="A1574" s="1" t="s">
        <v>7</v>
      </c>
      <c r="B1574" t="str">
        <f>VLOOKUP(A1574,'Area Breakdown'!$B$1:$C$33,2,)</f>
        <v>October</v>
      </c>
      <c r="C1574" s="2">
        <v>44354</v>
      </c>
      <c r="D1574" s="3">
        <v>217.60000000000002</v>
      </c>
    </row>
    <row r="1575" spans="1:4" ht="14.7" hidden="1" thickBot="1" x14ac:dyDescent="0.6">
      <c r="A1575" s="1" t="s">
        <v>21</v>
      </c>
      <c r="B1575" t="str">
        <f>VLOOKUP(A1575,'Area Breakdown'!$B$1:$C$33,2,)</f>
        <v>Heliopolis</v>
      </c>
      <c r="C1575" s="2">
        <v>44354</v>
      </c>
      <c r="D1575" s="3">
        <v>1301.6000000000001</v>
      </c>
    </row>
    <row r="1576" spans="1:4" ht="14.7" hidden="1" thickBot="1" x14ac:dyDescent="0.6">
      <c r="A1576" s="1" t="s">
        <v>20</v>
      </c>
      <c r="B1576" t="str">
        <f>VLOOKUP(A1576,'Area Breakdown'!$B$1:$C$33,2,)</f>
        <v>Downtown</v>
      </c>
      <c r="C1576" s="2">
        <v>44354</v>
      </c>
      <c r="D1576" s="3">
        <v>1277.6000000000001</v>
      </c>
    </row>
    <row r="1577" spans="1:4" ht="14.7" hidden="1" thickBot="1" x14ac:dyDescent="0.6">
      <c r="A1577" s="1" t="s">
        <v>12</v>
      </c>
      <c r="B1577" t="str">
        <f>VLOOKUP(A1577,'Area Breakdown'!$B$1:$C$33,2,)</f>
        <v>New Cairo</v>
      </c>
      <c r="C1577" s="2">
        <v>44354</v>
      </c>
      <c r="D1577" s="3">
        <v>1715.6000000000001</v>
      </c>
    </row>
    <row r="1578" spans="1:4" ht="14.7" hidden="1" thickBot="1" x14ac:dyDescent="0.6">
      <c r="A1578" s="1" t="s">
        <v>20</v>
      </c>
      <c r="B1578" t="str">
        <f>VLOOKUP(A1578,'Area Breakdown'!$B$1:$C$33,2,)</f>
        <v>Downtown</v>
      </c>
      <c r="C1578" s="2">
        <v>44355</v>
      </c>
      <c r="D1578" s="3">
        <v>1548.4</v>
      </c>
    </row>
    <row r="1579" spans="1:4" ht="14.7" hidden="1" thickBot="1" x14ac:dyDescent="0.6">
      <c r="A1579" s="1" t="s">
        <v>22</v>
      </c>
      <c r="B1579" t="str">
        <f>VLOOKUP(A1579,'Area Breakdown'!$B$1:$C$33,2,)</f>
        <v>Heliopolis</v>
      </c>
      <c r="C1579" s="2">
        <v>44355</v>
      </c>
      <c r="D1579" s="3">
        <v>1481.2</v>
      </c>
    </row>
    <row r="1580" spans="1:4" ht="14.7" hidden="1" thickBot="1" x14ac:dyDescent="0.6">
      <c r="A1580" s="1" t="s">
        <v>19</v>
      </c>
      <c r="B1580" t="str">
        <f>VLOOKUP(A1580,'Area Breakdown'!$B$1:$C$33,2,)</f>
        <v>Downtown</v>
      </c>
      <c r="C1580" s="2">
        <v>44355</v>
      </c>
      <c r="D1580" s="3">
        <v>1406.4</v>
      </c>
    </row>
    <row r="1581" spans="1:4" ht="14.7" hidden="1" thickBot="1" x14ac:dyDescent="0.6">
      <c r="A1581" s="1" t="s">
        <v>21</v>
      </c>
      <c r="B1581" t="str">
        <f>VLOOKUP(A1581,'Area Breakdown'!$B$1:$C$33,2,)</f>
        <v>Heliopolis</v>
      </c>
      <c r="C1581" s="2">
        <v>44355</v>
      </c>
      <c r="D1581" s="3">
        <v>1215.6000000000001</v>
      </c>
    </row>
    <row r="1582" spans="1:4" ht="14.7" hidden="1" thickBot="1" x14ac:dyDescent="0.6">
      <c r="A1582" s="1" t="s">
        <v>27</v>
      </c>
      <c r="B1582" t="str">
        <f>VLOOKUP(A1582,'Area Breakdown'!$B$1:$C$33,2,)</f>
        <v xml:space="preserve">Alexandria </v>
      </c>
      <c r="C1582" s="2">
        <v>44355</v>
      </c>
      <c r="D1582" s="3">
        <v>1135.2</v>
      </c>
    </row>
    <row r="1583" spans="1:4" ht="14.7" hidden="1" thickBot="1" x14ac:dyDescent="0.6">
      <c r="A1583" s="1" t="s">
        <v>1</v>
      </c>
      <c r="B1583" t="str">
        <f>VLOOKUP(A1583,'Area Breakdown'!$B$1:$C$33,2,)</f>
        <v>Downtown</v>
      </c>
      <c r="C1583" s="2">
        <v>44355</v>
      </c>
      <c r="D1583" s="3">
        <v>1074</v>
      </c>
    </row>
    <row r="1584" spans="1:4" ht="14.7" hidden="1" thickBot="1" x14ac:dyDescent="0.6">
      <c r="A1584" s="1" t="s">
        <v>10</v>
      </c>
      <c r="B1584" t="str">
        <f>VLOOKUP(A1584,'Area Breakdown'!$B$1:$C$33,2,)</f>
        <v xml:space="preserve">Alexandria </v>
      </c>
      <c r="C1584" s="2">
        <v>44355</v>
      </c>
      <c r="D1584" s="3">
        <v>999.6</v>
      </c>
    </row>
    <row r="1585" spans="1:4" ht="14.7" hidden="1" thickBot="1" x14ac:dyDescent="0.6">
      <c r="A1585" s="1" t="s">
        <v>3</v>
      </c>
      <c r="B1585" t="str">
        <f>VLOOKUP(A1585,'Area Breakdown'!$B$1:$C$33,2,)</f>
        <v>Downtown</v>
      </c>
      <c r="C1585" s="2">
        <v>44355</v>
      </c>
      <c r="D1585" s="3">
        <v>938.40000000000009</v>
      </c>
    </row>
    <row r="1586" spans="1:4" ht="14.7" hidden="1" thickBot="1" x14ac:dyDescent="0.6">
      <c r="A1586" s="1" t="s">
        <v>2</v>
      </c>
      <c r="B1586" t="str">
        <f>VLOOKUP(A1586,'Area Breakdown'!$B$1:$C$33,2,)</f>
        <v>Downtown</v>
      </c>
      <c r="C1586" s="2">
        <v>44355</v>
      </c>
      <c r="D1586" s="3">
        <v>897.2</v>
      </c>
    </row>
    <row r="1587" spans="1:4" ht="14.7" hidden="1" thickBot="1" x14ac:dyDescent="0.6">
      <c r="A1587" s="1" t="s">
        <v>16</v>
      </c>
      <c r="B1587" t="str">
        <f>VLOOKUP(A1587,'Area Breakdown'!$B$1:$C$33,2,)</f>
        <v>Downtown</v>
      </c>
      <c r="C1587" s="2">
        <v>44355</v>
      </c>
      <c r="D1587" s="3">
        <v>895.6</v>
      </c>
    </row>
    <row r="1588" spans="1:4" ht="14.7" hidden="1" thickBot="1" x14ac:dyDescent="0.6">
      <c r="A1588" s="1" t="s">
        <v>11</v>
      </c>
      <c r="B1588" t="str">
        <f>VLOOKUP(A1588,'Area Breakdown'!$B$1:$C$33,2,)</f>
        <v>New Cairo</v>
      </c>
      <c r="C1588" s="2">
        <v>44355</v>
      </c>
      <c r="D1588" s="3">
        <v>868</v>
      </c>
    </row>
    <row r="1589" spans="1:4" ht="14.7" hidden="1" thickBot="1" x14ac:dyDescent="0.6">
      <c r="A1589" s="1" t="s">
        <v>9</v>
      </c>
      <c r="B1589" t="str">
        <f>VLOOKUP(A1589,'Area Breakdown'!$B$1:$C$33,2,)</f>
        <v xml:space="preserve">Alexandria </v>
      </c>
      <c r="C1589" s="2">
        <v>44355</v>
      </c>
      <c r="D1589" s="3">
        <v>859.6</v>
      </c>
    </row>
    <row r="1590" spans="1:4" ht="14.7" hidden="1" thickBot="1" x14ac:dyDescent="0.6">
      <c r="A1590" s="1" t="s">
        <v>25</v>
      </c>
      <c r="B1590" t="str">
        <f>VLOOKUP(A1590,'Area Breakdown'!$B$1:$C$33,2,)</f>
        <v>October</v>
      </c>
      <c r="C1590" s="2">
        <v>44355</v>
      </c>
      <c r="D1590" s="3">
        <v>836.80000000000007</v>
      </c>
    </row>
    <row r="1591" spans="1:4" ht="14.7" hidden="1" thickBot="1" x14ac:dyDescent="0.6">
      <c r="A1591" s="1" t="s">
        <v>17</v>
      </c>
      <c r="B1591" t="str">
        <f>VLOOKUP(A1591,'Area Breakdown'!$B$1:$C$33,2,)</f>
        <v>Heliopolis</v>
      </c>
      <c r="C1591" s="2">
        <v>44355</v>
      </c>
      <c r="D1591" s="3">
        <v>792.40000000000009</v>
      </c>
    </row>
    <row r="1592" spans="1:4" ht="14.7" hidden="1" thickBot="1" x14ac:dyDescent="0.6">
      <c r="A1592" s="1" t="s">
        <v>13</v>
      </c>
      <c r="B1592" t="str">
        <f>VLOOKUP(A1592,'Area Breakdown'!$B$1:$C$33,2,)</f>
        <v>Heliopolis</v>
      </c>
      <c r="C1592" s="2">
        <v>44355</v>
      </c>
      <c r="D1592" s="3">
        <v>715.2</v>
      </c>
    </row>
    <row r="1593" spans="1:4" ht="14.7" hidden="1" thickBot="1" x14ac:dyDescent="0.6">
      <c r="A1593" s="1" t="s">
        <v>8</v>
      </c>
      <c r="B1593" t="str">
        <f>VLOOKUP(A1593,'Area Breakdown'!$B$1:$C$33,2,)</f>
        <v>Heliopolis</v>
      </c>
      <c r="C1593" s="2">
        <v>44355</v>
      </c>
      <c r="D1593" s="3">
        <v>667.6</v>
      </c>
    </row>
    <row r="1594" spans="1:4" ht="14.7" hidden="1" thickBot="1" x14ac:dyDescent="0.6">
      <c r="A1594" s="1" t="s">
        <v>6</v>
      </c>
      <c r="B1594" t="str">
        <f>VLOOKUP(A1594,'Area Breakdown'!$B$1:$C$33,2,)</f>
        <v xml:space="preserve">Alexandria </v>
      </c>
      <c r="C1594" s="2">
        <v>44355</v>
      </c>
      <c r="D1594" s="3">
        <v>651.20000000000005</v>
      </c>
    </row>
    <row r="1595" spans="1:4" ht="14.7" hidden="1" thickBot="1" x14ac:dyDescent="0.6">
      <c r="A1595" s="1" t="s">
        <v>7</v>
      </c>
      <c r="B1595" t="str">
        <f>VLOOKUP(A1595,'Area Breakdown'!$B$1:$C$33,2,)</f>
        <v>October</v>
      </c>
      <c r="C1595" s="2">
        <v>44355</v>
      </c>
      <c r="D1595" s="3">
        <v>467.6</v>
      </c>
    </row>
    <row r="1596" spans="1:4" ht="14.7" hidden="1" thickBot="1" x14ac:dyDescent="0.6">
      <c r="A1596" s="1" t="s">
        <v>23</v>
      </c>
      <c r="B1596" t="str">
        <f>VLOOKUP(A1596,'Area Breakdown'!$B$1:$C$33,2,)</f>
        <v>Heliopolis</v>
      </c>
      <c r="C1596" s="2">
        <v>44355</v>
      </c>
      <c r="D1596" s="3">
        <v>457.20000000000005</v>
      </c>
    </row>
    <row r="1597" spans="1:4" ht="14.7" hidden="1" thickBot="1" x14ac:dyDescent="0.6">
      <c r="A1597" s="1" t="s">
        <v>4</v>
      </c>
      <c r="B1597" t="str">
        <f>VLOOKUP(A1597,'Area Breakdown'!$B$1:$C$33,2,)</f>
        <v>Downtown</v>
      </c>
      <c r="C1597" s="2">
        <v>44355</v>
      </c>
      <c r="D1597" s="3">
        <v>449.6</v>
      </c>
    </row>
    <row r="1598" spans="1:4" ht="14.7" hidden="1" thickBot="1" x14ac:dyDescent="0.6">
      <c r="A1598" s="1" t="s">
        <v>15</v>
      </c>
      <c r="B1598" t="str">
        <f>VLOOKUP(A1598,'Area Breakdown'!$B$1:$C$33,2,)</f>
        <v>Heliopolis</v>
      </c>
      <c r="C1598" s="2">
        <v>44355</v>
      </c>
      <c r="D1598" s="3">
        <v>269.2</v>
      </c>
    </row>
    <row r="1599" spans="1:4" ht="14.7" hidden="1" thickBot="1" x14ac:dyDescent="0.6">
      <c r="A1599" s="1" t="s">
        <v>12</v>
      </c>
      <c r="B1599" t="str">
        <f>VLOOKUP(A1599,'Area Breakdown'!$B$1:$C$33,2,)</f>
        <v>New Cairo</v>
      </c>
      <c r="C1599" s="2">
        <v>44355</v>
      </c>
      <c r="D1599" s="3">
        <v>2430</v>
      </c>
    </row>
    <row r="1600" spans="1:4" ht="14.7" hidden="1" thickBot="1" x14ac:dyDescent="0.6">
      <c r="A1600" s="1" t="s">
        <v>0</v>
      </c>
      <c r="B1600" t="str">
        <f>VLOOKUP(A1600,'Area Breakdown'!$B$1:$C$33,2,)</f>
        <v>Downtown</v>
      </c>
      <c r="C1600" s="2">
        <v>44355</v>
      </c>
      <c r="D1600" s="3">
        <v>2000.4</v>
      </c>
    </row>
    <row r="1601" spans="1:4" ht="14.7" hidden="1" thickBot="1" x14ac:dyDescent="0.6">
      <c r="A1601" s="1" t="s">
        <v>24</v>
      </c>
      <c r="B1601" t="str">
        <f>VLOOKUP(A1601,'Area Breakdown'!$B$1:$C$33,2,)</f>
        <v>October</v>
      </c>
      <c r="C1601" s="2">
        <v>44355</v>
      </c>
      <c r="D1601" s="3">
        <v>1787.6000000000001</v>
      </c>
    </row>
    <row r="1602" spans="1:4" ht="14.7" hidden="1" thickBot="1" x14ac:dyDescent="0.6">
      <c r="A1602" s="1" t="s">
        <v>12</v>
      </c>
      <c r="B1602" t="str">
        <f>VLOOKUP(A1602,'Area Breakdown'!$B$1:$C$33,2,)</f>
        <v>New Cairo</v>
      </c>
      <c r="C1602" s="2">
        <v>44356</v>
      </c>
      <c r="D1602" s="3">
        <v>1612</v>
      </c>
    </row>
    <row r="1603" spans="1:4" ht="14.7" hidden="1" thickBot="1" x14ac:dyDescent="0.6">
      <c r="A1603" s="1" t="s">
        <v>20</v>
      </c>
      <c r="B1603" t="str">
        <f>VLOOKUP(A1603,'Area Breakdown'!$B$1:$C$33,2,)</f>
        <v>Downtown</v>
      </c>
      <c r="C1603" s="2">
        <v>44356</v>
      </c>
      <c r="D1603" s="3">
        <v>1543.6000000000001</v>
      </c>
    </row>
    <row r="1604" spans="1:4" ht="14.7" hidden="1" thickBot="1" x14ac:dyDescent="0.6">
      <c r="A1604" s="1" t="s">
        <v>19</v>
      </c>
      <c r="B1604" t="str">
        <f>VLOOKUP(A1604,'Area Breakdown'!$B$1:$C$33,2,)</f>
        <v>Downtown</v>
      </c>
      <c r="C1604" s="2">
        <v>44356</v>
      </c>
      <c r="D1604" s="3">
        <v>1441.2</v>
      </c>
    </row>
    <row r="1605" spans="1:4" ht="14.7" hidden="1" thickBot="1" x14ac:dyDescent="0.6">
      <c r="A1605" s="1" t="s">
        <v>3</v>
      </c>
      <c r="B1605" t="str">
        <f>VLOOKUP(A1605,'Area Breakdown'!$B$1:$C$33,2,)</f>
        <v>Downtown</v>
      </c>
      <c r="C1605" s="2">
        <v>44356</v>
      </c>
      <c r="D1605" s="3">
        <v>1188.4000000000001</v>
      </c>
    </row>
    <row r="1606" spans="1:4" ht="14.7" hidden="1" thickBot="1" x14ac:dyDescent="0.6">
      <c r="A1606" s="1" t="s">
        <v>27</v>
      </c>
      <c r="B1606" t="str">
        <f>VLOOKUP(A1606,'Area Breakdown'!$B$1:$C$33,2,)</f>
        <v xml:space="preserve">Alexandria </v>
      </c>
      <c r="C1606" s="2">
        <v>44356</v>
      </c>
      <c r="D1606" s="3">
        <v>1170.4000000000001</v>
      </c>
    </row>
    <row r="1607" spans="1:4" ht="14.7" hidden="1" thickBot="1" x14ac:dyDescent="0.6">
      <c r="A1607" s="1" t="s">
        <v>8</v>
      </c>
      <c r="B1607" t="str">
        <f>VLOOKUP(A1607,'Area Breakdown'!$B$1:$C$33,2,)</f>
        <v>Heliopolis</v>
      </c>
      <c r="C1607" s="2">
        <v>44356</v>
      </c>
      <c r="D1607" s="3">
        <v>1131.6000000000001</v>
      </c>
    </row>
    <row r="1608" spans="1:4" ht="14.7" hidden="1" thickBot="1" x14ac:dyDescent="0.6">
      <c r="A1608" s="1" t="s">
        <v>22</v>
      </c>
      <c r="B1608" t="str">
        <f>VLOOKUP(A1608,'Area Breakdown'!$B$1:$C$33,2,)</f>
        <v>Heliopolis</v>
      </c>
      <c r="C1608" s="2">
        <v>44356</v>
      </c>
      <c r="D1608" s="3">
        <v>1113.6000000000001</v>
      </c>
    </row>
    <row r="1609" spans="1:4" ht="14.7" hidden="1" thickBot="1" x14ac:dyDescent="0.6">
      <c r="A1609" s="1" t="s">
        <v>21</v>
      </c>
      <c r="B1609" t="str">
        <f>VLOOKUP(A1609,'Area Breakdown'!$B$1:$C$33,2,)</f>
        <v>Heliopolis</v>
      </c>
      <c r="C1609" s="2">
        <v>44356</v>
      </c>
      <c r="D1609" s="3">
        <v>1074.8</v>
      </c>
    </row>
    <row r="1610" spans="1:4" ht="14.7" hidden="1" thickBot="1" x14ac:dyDescent="0.6">
      <c r="A1610" s="1" t="s">
        <v>11</v>
      </c>
      <c r="B1610" t="str">
        <f>VLOOKUP(A1610,'Area Breakdown'!$B$1:$C$33,2,)</f>
        <v>New Cairo</v>
      </c>
      <c r="C1610" s="2">
        <v>44356</v>
      </c>
      <c r="D1610" s="3">
        <v>1047.6000000000001</v>
      </c>
    </row>
    <row r="1611" spans="1:4" ht="14.7" hidden="1" thickBot="1" x14ac:dyDescent="0.6">
      <c r="A1611" s="1" t="s">
        <v>24</v>
      </c>
      <c r="B1611" t="str">
        <f>VLOOKUP(A1611,'Area Breakdown'!$B$1:$C$33,2,)</f>
        <v>October</v>
      </c>
      <c r="C1611" s="2">
        <v>44356</v>
      </c>
      <c r="D1611" s="3">
        <v>968.40000000000009</v>
      </c>
    </row>
    <row r="1612" spans="1:4" ht="14.7" hidden="1" thickBot="1" x14ac:dyDescent="0.6">
      <c r="A1612" s="1" t="s">
        <v>25</v>
      </c>
      <c r="B1612" t="str">
        <f>VLOOKUP(A1612,'Area Breakdown'!$B$1:$C$33,2,)</f>
        <v>October</v>
      </c>
      <c r="C1612" s="2">
        <v>44356</v>
      </c>
      <c r="D1612" s="3">
        <v>964.80000000000007</v>
      </c>
    </row>
    <row r="1613" spans="1:4" ht="14.7" hidden="1" thickBot="1" x14ac:dyDescent="0.6">
      <c r="A1613" s="1" t="s">
        <v>9</v>
      </c>
      <c r="B1613" t="str">
        <f>VLOOKUP(A1613,'Area Breakdown'!$B$1:$C$33,2,)</f>
        <v xml:space="preserve">Alexandria </v>
      </c>
      <c r="C1613" s="2">
        <v>44356</v>
      </c>
      <c r="D1613" s="3">
        <v>913.6</v>
      </c>
    </row>
    <row r="1614" spans="1:4" ht="14.7" hidden="1" thickBot="1" x14ac:dyDescent="0.6">
      <c r="A1614" s="1" t="s">
        <v>1</v>
      </c>
      <c r="B1614" t="str">
        <f>VLOOKUP(A1614,'Area Breakdown'!$B$1:$C$33,2,)</f>
        <v>Downtown</v>
      </c>
      <c r="C1614" s="2">
        <v>44356</v>
      </c>
      <c r="D1614" s="3">
        <v>897.6</v>
      </c>
    </row>
    <row r="1615" spans="1:4" ht="14.7" hidden="1" thickBot="1" x14ac:dyDescent="0.6">
      <c r="A1615" s="1" t="s">
        <v>13</v>
      </c>
      <c r="B1615" t="str">
        <f>VLOOKUP(A1615,'Area Breakdown'!$B$1:$C$33,2,)</f>
        <v>Heliopolis</v>
      </c>
      <c r="C1615" s="2">
        <v>44356</v>
      </c>
      <c r="D1615" s="3">
        <v>892</v>
      </c>
    </row>
    <row r="1616" spans="1:4" ht="14.7" hidden="1" thickBot="1" x14ac:dyDescent="0.6">
      <c r="A1616" s="1" t="s">
        <v>10</v>
      </c>
      <c r="B1616" t="str">
        <f>VLOOKUP(A1616,'Area Breakdown'!$B$1:$C$33,2,)</f>
        <v xml:space="preserve">Alexandria </v>
      </c>
      <c r="C1616" s="2">
        <v>44356</v>
      </c>
      <c r="D1616" s="3">
        <v>807.6</v>
      </c>
    </row>
    <row r="1617" spans="1:4" ht="14.7" hidden="1" thickBot="1" x14ac:dyDescent="0.6">
      <c r="A1617" s="1" t="s">
        <v>16</v>
      </c>
      <c r="B1617" t="str">
        <f>VLOOKUP(A1617,'Area Breakdown'!$B$1:$C$33,2,)</f>
        <v>Downtown</v>
      </c>
      <c r="C1617" s="2">
        <v>44356</v>
      </c>
      <c r="D1617" s="3">
        <v>797.2</v>
      </c>
    </row>
    <row r="1618" spans="1:4" ht="14.7" hidden="1" thickBot="1" x14ac:dyDescent="0.6">
      <c r="A1618" s="1" t="s">
        <v>2</v>
      </c>
      <c r="B1618" t="str">
        <f>VLOOKUP(A1618,'Area Breakdown'!$B$1:$C$33,2,)</f>
        <v>Downtown</v>
      </c>
      <c r="C1618" s="2">
        <v>44356</v>
      </c>
      <c r="D1618" s="3">
        <v>765.2</v>
      </c>
    </row>
    <row r="1619" spans="1:4" ht="14.7" hidden="1" thickBot="1" x14ac:dyDescent="0.6">
      <c r="A1619" s="1" t="s">
        <v>4</v>
      </c>
      <c r="B1619" t="str">
        <f>VLOOKUP(A1619,'Area Breakdown'!$B$1:$C$33,2,)</f>
        <v>Downtown</v>
      </c>
      <c r="C1619" s="2">
        <v>44356</v>
      </c>
      <c r="D1619" s="3">
        <v>463.6</v>
      </c>
    </row>
    <row r="1620" spans="1:4" ht="14.7" hidden="1" thickBot="1" x14ac:dyDescent="0.6">
      <c r="A1620" s="1" t="s">
        <v>6</v>
      </c>
      <c r="B1620" t="str">
        <f>VLOOKUP(A1620,'Area Breakdown'!$B$1:$C$33,2,)</f>
        <v xml:space="preserve">Alexandria </v>
      </c>
      <c r="C1620" s="2">
        <v>44356</v>
      </c>
      <c r="D1620" s="3">
        <v>461.20000000000005</v>
      </c>
    </row>
    <row r="1621" spans="1:4" ht="14.7" hidden="1" thickBot="1" x14ac:dyDescent="0.6">
      <c r="A1621" s="1" t="s">
        <v>23</v>
      </c>
      <c r="B1621" t="str">
        <f>VLOOKUP(A1621,'Area Breakdown'!$B$1:$C$33,2,)</f>
        <v>Heliopolis</v>
      </c>
      <c r="C1621" s="2">
        <v>44356</v>
      </c>
      <c r="D1621" s="3">
        <v>407.20000000000005</v>
      </c>
    </row>
    <row r="1622" spans="1:4" ht="14.7" hidden="1" thickBot="1" x14ac:dyDescent="0.6">
      <c r="A1622" s="1" t="s">
        <v>17</v>
      </c>
      <c r="B1622" t="str">
        <f>VLOOKUP(A1622,'Area Breakdown'!$B$1:$C$33,2,)</f>
        <v>Heliopolis</v>
      </c>
      <c r="C1622" s="2">
        <v>44356</v>
      </c>
      <c r="D1622" s="3">
        <v>363.6</v>
      </c>
    </row>
    <row r="1623" spans="1:4" ht="14.7" hidden="1" thickBot="1" x14ac:dyDescent="0.6">
      <c r="A1623" s="1" t="s">
        <v>15</v>
      </c>
      <c r="B1623" t="str">
        <f>VLOOKUP(A1623,'Area Breakdown'!$B$1:$C$33,2,)</f>
        <v>Heliopolis</v>
      </c>
      <c r="C1623" s="2">
        <v>44356</v>
      </c>
      <c r="D1623" s="3">
        <v>361.6</v>
      </c>
    </row>
    <row r="1624" spans="1:4" ht="14.7" hidden="1" thickBot="1" x14ac:dyDescent="0.6">
      <c r="A1624" s="1" t="s">
        <v>7</v>
      </c>
      <c r="B1624" t="str">
        <f>VLOOKUP(A1624,'Area Breakdown'!$B$1:$C$33,2,)</f>
        <v>October</v>
      </c>
      <c r="C1624" s="2">
        <v>44356</v>
      </c>
      <c r="D1624" s="3">
        <v>205.60000000000002</v>
      </c>
    </row>
    <row r="1625" spans="1:4" ht="14.7" hidden="1" thickBot="1" x14ac:dyDescent="0.6">
      <c r="A1625" s="1" t="s">
        <v>0</v>
      </c>
      <c r="B1625" t="str">
        <f>VLOOKUP(A1625,'Area Breakdown'!$B$1:$C$33,2,)</f>
        <v>Downtown</v>
      </c>
      <c r="C1625" s="2">
        <v>44356</v>
      </c>
      <c r="D1625" s="3">
        <v>1820</v>
      </c>
    </row>
    <row r="1626" spans="1:4" ht="14.7" hidden="1" thickBot="1" x14ac:dyDescent="0.6">
      <c r="A1626" s="1" t="s">
        <v>22</v>
      </c>
      <c r="B1626" t="str">
        <f>VLOOKUP(A1626,'Area Breakdown'!$B$1:$C$33,2,)</f>
        <v>Heliopolis</v>
      </c>
      <c r="C1626" s="2">
        <v>44357</v>
      </c>
      <c r="D1626" s="3">
        <v>1446.8000000000002</v>
      </c>
    </row>
    <row r="1627" spans="1:4" ht="14.7" hidden="1" thickBot="1" x14ac:dyDescent="0.6">
      <c r="A1627" s="1" t="s">
        <v>1</v>
      </c>
      <c r="B1627" t="str">
        <f>VLOOKUP(A1627,'Area Breakdown'!$B$1:$C$33,2,)</f>
        <v>Downtown</v>
      </c>
      <c r="C1627" s="2">
        <v>44357</v>
      </c>
      <c r="D1627" s="3">
        <v>1172.4000000000001</v>
      </c>
    </row>
    <row r="1628" spans="1:4" ht="14.7" hidden="1" thickBot="1" x14ac:dyDescent="0.6">
      <c r="A1628" s="1" t="s">
        <v>21</v>
      </c>
      <c r="B1628" t="str">
        <f>VLOOKUP(A1628,'Area Breakdown'!$B$1:$C$33,2,)</f>
        <v>Heliopolis</v>
      </c>
      <c r="C1628" s="2">
        <v>44357</v>
      </c>
      <c r="D1628" s="3">
        <v>1167.6000000000001</v>
      </c>
    </row>
    <row r="1629" spans="1:4" ht="14.7" hidden="1" thickBot="1" x14ac:dyDescent="0.6">
      <c r="A1629" s="1" t="s">
        <v>19</v>
      </c>
      <c r="B1629" t="str">
        <f>VLOOKUP(A1629,'Area Breakdown'!$B$1:$C$33,2,)</f>
        <v>Downtown</v>
      </c>
      <c r="C1629" s="2">
        <v>44357</v>
      </c>
      <c r="D1629" s="3">
        <v>1070</v>
      </c>
    </row>
    <row r="1630" spans="1:4" ht="14.7" hidden="1" thickBot="1" x14ac:dyDescent="0.6">
      <c r="A1630" s="1" t="s">
        <v>13</v>
      </c>
      <c r="B1630" t="str">
        <f>VLOOKUP(A1630,'Area Breakdown'!$B$1:$C$33,2,)</f>
        <v>Heliopolis</v>
      </c>
      <c r="C1630" s="2">
        <v>44357</v>
      </c>
      <c r="D1630" s="3">
        <v>1026.4000000000001</v>
      </c>
    </row>
    <row r="1631" spans="1:4" ht="14.7" hidden="1" thickBot="1" x14ac:dyDescent="0.6">
      <c r="A1631" s="1" t="s">
        <v>3</v>
      </c>
      <c r="B1631" t="str">
        <f>VLOOKUP(A1631,'Area Breakdown'!$B$1:$C$33,2,)</f>
        <v>Downtown</v>
      </c>
      <c r="C1631" s="2">
        <v>44357</v>
      </c>
      <c r="D1631" s="3">
        <v>1024.4000000000001</v>
      </c>
    </row>
    <row r="1632" spans="1:4" ht="14.7" hidden="1" thickBot="1" x14ac:dyDescent="0.6">
      <c r="A1632" s="1" t="s">
        <v>16</v>
      </c>
      <c r="B1632" t="str">
        <f>VLOOKUP(A1632,'Area Breakdown'!$B$1:$C$33,2,)</f>
        <v>Downtown</v>
      </c>
      <c r="C1632" s="2">
        <v>44357</v>
      </c>
      <c r="D1632" s="3">
        <v>1000.4000000000001</v>
      </c>
    </row>
    <row r="1633" spans="1:4" ht="14.7" hidden="1" thickBot="1" x14ac:dyDescent="0.6">
      <c r="A1633" s="1" t="s">
        <v>9</v>
      </c>
      <c r="B1633" t="str">
        <f>VLOOKUP(A1633,'Area Breakdown'!$B$1:$C$33,2,)</f>
        <v xml:space="preserve">Alexandria </v>
      </c>
      <c r="C1633" s="2">
        <v>44357</v>
      </c>
      <c r="D1633" s="3">
        <v>989.2</v>
      </c>
    </row>
    <row r="1634" spans="1:4" ht="14.7" hidden="1" thickBot="1" x14ac:dyDescent="0.6">
      <c r="A1634" s="1" t="s">
        <v>24</v>
      </c>
      <c r="B1634" t="str">
        <f>VLOOKUP(A1634,'Area Breakdown'!$B$1:$C$33,2,)</f>
        <v>October</v>
      </c>
      <c r="C1634" s="2">
        <v>44357</v>
      </c>
      <c r="D1634" s="3">
        <v>984.40000000000009</v>
      </c>
    </row>
    <row r="1635" spans="1:4" ht="14.7" hidden="1" thickBot="1" x14ac:dyDescent="0.6">
      <c r="A1635" s="1" t="s">
        <v>25</v>
      </c>
      <c r="B1635" t="str">
        <f>VLOOKUP(A1635,'Area Breakdown'!$B$1:$C$33,2,)</f>
        <v>October</v>
      </c>
      <c r="C1635" s="2">
        <v>44357</v>
      </c>
      <c r="D1635" s="3">
        <v>910</v>
      </c>
    </row>
    <row r="1636" spans="1:4" ht="14.7" hidden="1" thickBot="1" x14ac:dyDescent="0.6">
      <c r="A1636" s="1" t="s">
        <v>10</v>
      </c>
      <c r="B1636" t="str">
        <f>VLOOKUP(A1636,'Area Breakdown'!$B$1:$C$33,2,)</f>
        <v xml:space="preserve">Alexandria </v>
      </c>
      <c r="C1636" s="2">
        <v>44357</v>
      </c>
      <c r="D1636" s="3">
        <v>885.2</v>
      </c>
    </row>
    <row r="1637" spans="1:4" ht="14.7" hidden="1" thickBot="1" x14ac:dyDescent="0.6">
      <c r="A1637" s="1" t="s">
        <v>2</v>
      </c>
      <c r="B1637" t="str">
        <f>VLOOKUP(A1637,'Area Breakdown'!$B$1:$C$33,2,)</f>
        <v>Downtown</v>
      </c>
      <c r="C1637" s="2">
        <v>44357</v>
      </c>
      <c r="D1637" s="3">
        <v>870</v>
      </c>
    </row>
    <row r="1638" spans="1:4" ht="14.7" hidden="1" thickBot="1" x14ac:dyDescent="0.6">
      <c r="A1638" s="1" t="s">
        <v>8</v>
      </c>
      <c r="B1638" t="str">
        <f>VLOOKUP(A1638,'Area Breakdown'!$B$1:$C$33,2,)</f>
        <v>Heliopolis</v>
      </c>
      <c r="C1638" s="2">
        <v>44357</v>
      </c>
      <c r="D1638" s="3">
        <v>820.40000000000009</v>
      </c>
    </row>
    <row r="1639" spans="1:4" ht="14.7" hidden="1" thickBot="1" x14ac:dyDescent="0.6">
      <c r="A1639" s="1" t="s">
        <v>11</v>
      </c>
      <c r="B1639" t="str">
        <f>VLOOKUP(A1639,'Area Breakdown'!$B$1:$C$33,2,)</f>
        <v>New Cairo</v>
      </c>
      <c r="C1639" s="2">
        <v>44357</v>
      </c>
      <c r="D1639" s="3">
        <v>793.6</v>
      </c>
    </row>
    <row r="1640" spans="1:4" ht="14.7" hidden="1" thickBot="1" x14ac:dyDescent="0.6">
      <c r="A1640" s="1" t="s">
        <v>27</v>
      </c>
      <c r="B1640" t="str">
        <f>VLOOKUP(A1640,'Area Breakdown'!$B$1:$C$33,2,)</f>
        <v xml:space="preserve">Alexandria </v>
      </c>
      <c r="C1640" s="2">
        <v>44357</v>
      </c>
      <c r="D1640" s="3">
        <v>756</v>
      </c>
    </row>
    <row r="1641" spans="1:4" ht="14.7" hidden="1" thickBot="1" x14ac:dyDescent="0.6">
      <c r="A1641" s="1" t="s">
        <v>15</v>
      </c>
      <c r="B1641" t="str">
        <f>VLOOKUP(A1641,'Area Breakdown'!$B$1:$C$33,2,)</f>
        <v>Heliopolis</v>
      </c>
      <c r="C1641" s="2">
        <v>44357</v>
      </c>
      <c r="D1641" s="3">
        <v>552.80000000000007</v>
      </c>
    </row>
    <row r="1642" spans="1:4" ht="14.7" hidden="1" thickBot="1" x14ac:dyDescent="0.6">
      <c r="A1642" s="1" t="s">
        <v>17</v>
      </c>
      <c r="B1642" t="str">
        <f>VLOOKUP(A1642,'Area Breakdown'!$B$1:$C$33,2,)</f>
        <v>Heliopolis</v>
      </c>
      <c r="C1642" s="2">
        <v>44357</v>
      </c>
      <c r="D1642" s="3">
        <v>549.6</v>
      </c>
    </row>
    <row r="1643" spans="1:4" ht="14.7" hidden="1" thickBot="1" x14ac:dyDescent="0.6">
      <c r="A1643" s="1" t="s">
        <v>4</v>
      </c>
      <c r="B1643" t="str">
        <f>VLOOKUP(A1643,'Area Breakdown'!$B$1:$C$33,2,)</f>
        <v>Downtown</v>
      </c>
      <c r="C1643" s="2">
        <v>44357</v>
      </c>
      <c r="D1643" s="3">
        <v>345.20000000000005</v>
      </c>
    </row>
    <row r="1644" spans="1:4" ht="14.7" hidden="1" thickBot="1" x14ac:dyDescent="0.6">
      <c r="A1644" s="1" t="s">
        <v>23</v>
      </c>
      <c r="B1644" t="str">
        <f>VLOOKUP(A1644,'Area Breakdown'!$B$1:$C$33,2,)</f>
        <v>Heliopolis</v>
      </c>
      <c r="C1644" s="2">
        <v>44357</v>
      </c>
      <c r="D1644" s="3">
        <v>320.40000000000003</v>
      </c>
    </row>
    <row r="1645" spans="1:4" ht="14.7" hidden="1" thickBot="1" x14ac:dyDescent="0.6">
      <c r="A1645" s="1" t="s">
        <v>6</v>
      </c>
      <c r="B1645" t="str">
        <f>VLOOKUP(A1645,'Area Breakdown'!$B$1:$C$33,2,)</f>
        <v xml:space="preserve">Alexandria </v>
      </c>
      <c r="C1645" s="2">
        <v>44357</v>
      </c>
      <c r="D1645" s="3">
        <v>248</v>
      </c>
    </row>
    <row r="1646" spans="1:4" ht="14.7" hidden="1" thickBot="1" x14ac:dyDescent="0.6">
      <c r="A1646" s="1" t="s">
        <v>7</v>
      </c>
      <c r="B1646" t="str">
        <f>VLOOKUP(A1646,'Area Breakdown'!$B$1:$C$33,2,)</f>
        <v>October</v>
      </c>
      <c r="C1646" s="2">
        <v>44357</v>
      </c>
      <c r="D1646" s="3">
        <v>128.80000000000001</v>
      </c>
    </row>
    <row r="1647" spans="1:4" ht="14.7" hidden="1" thickBot="1" x14ac:dyDescent="0.6">
      <c r="A1647" s="1" t="s">
        <v>12</v>
      </c>
      <c r="B1647" t="str">
        <f>VLOOKUP(A1647,'Area Breakdown'!$B$1:$C$33,2,)</f>
        <v>New Cairo</v>
      </c>
      <c r="C1647" s="2">
        <v>44357</v>
      </c>
      <c r="D1647" s="3">
        <v>2076.4</v>
      </c>
    </row>
    <row r="1648" spans="1:4" ht="14.7" hidden="1" thickBot="1" x14ac:dyDescent="0.6">
      <c r="A1648" s="1" t="s">
        <v>20</v>
      </c>
      <c r="B1648" t="str">
        <f>VLOOKUP(A1648,'Area Breakdown'!$B$1:$C$33,2,)</f>
        <v>Downtown</v>
      </c>
      <c r="C1648" s="2">
        <v>44357</v>
      </c>
      <c r="D1648" s="3">
        <v>1685.6000000000001</v>
      </c>
    </row>
    <row r="1649" spans="1:4" ht="14.7" hidden="1" thickBot="1" x14ac:dyDescent="0.6">
      <c r="A1649" s="1" t="s">
        <v>0</v>
      </c>
      <c r="B1649" t="str">
        <f>VLOOKUP(A1649,'Area Breakdown'!$B$1:$C$33,2,)</f>
        <v>Downtown</v>
      </c>
      <c r="C1649" s="2">
        <v>44357</v>
      </c>
      <c r="D1649" s="3">
        <v>1636.8000000000002</v>
      </c>
    </row>
    <row r="1650" spans="1:4" ht="14.7" hidden="1" thickBot="1" x14ac:dyDescent="0.6">
      <c r="A1650" s="1" t="s">
        <v>24</v>
      </c>
      <c r="B1650" t="str">
        <f>VLOOKUP(A1650,'Area Breakdown'!$B$1:$C$33,2,)</f>
        <v>October</v>
      </c>
      <c r="C1650" s="2">
        <v>44358</v>
      </c>
      <c r="D1650" s="3">
        <v>1200</v>
      </c>
    </row>
    <row r="1651" spans="1:4" ht="14.7" hidden="1" thickBot="1" x14ac:dyDescent="0.6">
      <c r="A1651" s="1" t="s">
        <v>22</v>
      </c>
      <c r="B1651" t="str">
        <f>VLOOKUP(A1651,'Area Breakdown'!$B$1:$C$33,2,)</f>
        <v>Heliopolis</v>
      </c>
      <c r="C1651" s="2">
        <v>44358</v>
      </c>
      <c r="D1651" s="3">
        <v>1125.6000000000001</v>
      </c>
    </row>
    <row r="1652" spans="1:4" ht="14.7" hidden="1" thickBot="1" x14ac:dyDescent="0.6">
      <c r="A1652" s="1" t="s">
        <v>12</v>
      </c>
      <c r="B1652" t="str">
        <f>VLOOKUP(A1652,'Area Breakdown'!$B$1:$C$33,2,)</f>
        <v>New Cairo</v>
      </c>
      <c r="C1652" s="2">
        <v>44358</v>
      </c>
      <c r="D1652" s="3">
        <v>947.6</v>
      </c>
    </row>
    <row r="1653" spans="1:4" ht="14.7" hidden="1" thickBot="1" x14ac:dyDescent="0.6">
      <c r="A1653" s="1" t="s">
        <v>16</v>
      </c>
      <c r="B1653" t="str">
        <f>VLOOKUP(A1653,'Area Breakdown'!$B$1:$C$33,2,)</f>
        <v>Downtown</v>
      </c>
      <c r="C1653" s="2">
        <v>44358</v>
      </c>
      <c r="D1653" s="3">
        <v>904.40000000000009</v>
      </c>
    </row>
    <row r="1654" spans="1:4" ht="14.7" hidden="1" thickBot="1" x14ac:dyDescent="0.6">
      <c r="A1654" s="1" t="s">
        <v>9</v>
      </c>
      <c r="B1654" t="str">
        <f>VLOOKUP(A1654,'Area Breakdown'!$B$1:$C$33,2,)</f>
        <v xml:space="preserve">Alexandria </v>
      </c>
      <c r="C1654" s="2">
        <v>44358</v>
      </c>
      <c r="D1654" s="3">
        <v>798</v>
      </c>
    </row>
    <row r="1655" spans="1:4" ht="14.7" hidden="1" thickBot="1" x14ac:dyDescent="0.6">
      <c r="A1655" s="1" t="s">
        <v>25</v>
      </c>
      <c r="B1655" t="str">
        <f>VLOOKUP(A1655,'Area Breakdown'!$B$1:$C$33,2,)</f>
        <v>October</v>
      </c>
      <c r="C1655" s="2">
        <v>44358</v>
      </c>
      <c r="D1655" s="3">
        <v>795.6</v>
      </c>
    </row>
    <row r="1656" spans="1:4" ht="14.7" hidden="1" thickBot="1" x14ac:dyDescent="0.6">
      <c r="A1656" s="1" t="s">
        <v>11</v>
      </c>
      <c r="B1656" t="str">
        <f>VLOOKUP(A1656,'Area Breakdown'!$B$1:$C$33,2,)</f>
        <v>New Cairo</v>
      </c>
      <c r="C1656" s="2">
        <v>44358</v>
      </c>
      <c r="D1656" s="3">
        <v>769.2</v>
      </c>
    </row>
    <row r="1657" spans="1:4" ht="14.7" hidden="1" thickBot="1" x14ac:dyDescent="0.6">
      <c r="A1657" s="1" t="s">
        <v>27</v>
      </c>
      <c r="B1657" t="str">
        <f>VLOOKUP(A1657,'Area Breakdown'!$B$1:$C$33,2,)</f>
        <v xml:space="preserve">Alexandria </v>
      </c>
      <c r="C1657" s="2">
        <v>44358</v>
      </c>
      <c r="D1657" s="3">
        <v>718</v>
      </c>
    </row>
    <row r="1658" spans="1:4" ht="14.7" hidden="1" thickBot="1" x14ac:dyDescent="0.6">
      <c r="A1658" s="1" t="s">
        <v>10</v>
      </c>
      <c r="B1658" t="str">
        <f>VLOOKUP(A1658,'Area Breakdown'!$B$1:$C$33,2,)</f>
        <v xml:space="preserve">Alexandria </v>
      </c>
      <c r="C1658" s="2">
        <v>44358</v>
      </c>
      <c r="D1658" s="3">
        <v>632.80000000000007</v>
      </c>
    </row>
    <row r="1659" spans="1:4" ht="14.7" hidden="1" thickBot="1" x14ac:dyDescent="0.6">
      <c r="A1659" s="1" t="s">
        <v>1</v>
      </c>
      <c r="B1659" t="str">
        <f>VLOOKUP(A1659,'Area Breakdown'!$B$1:$C$33,2,)</f>
        <v>Downtown</v>
      </c>
      <c r="C1659" s="2">
        <v>44358</v>
      </c>
      <c r="D1659" s="3">
        <v>618.40000000000009</v>
      </c>
    </row>
    <row r="1660" spans="1:4" ht="14.7" hidden="1" thickBot="1" x14ac:dyDescent="0.6">
      <c r="A1660" s="1" t="s">
        <v>17</v>
      </c>
      <c r="B1660" t="str">
        <f>VLOOKUP(A1660,'Area Breakdown'!$B$1:$C$33,2,)</f>
        <v>Heliopolis</v>
      </c>
      <c r="C1660" s="2">
        <v>44358</v>
      </c>
      <c r="D1660" s="3">
        <v>596.80000000000007</v>
      </c>
    </row>
    <row r="1661" spans="1:4" ht="14.7" hidden="1" thickBot="1" x14ac:dyDescent="0.6">
      <c r="A1661" s="1" t="s">
        <v>0</v>
      </c>
      <c r="B1661" t="str">
        <f>VLOOKUP(A1661,'Area Breakdown'!$B$1:$C$33,2,)</f>
        <v>Downtown</v>
      </c>
      <c r="C1661" s="2">
        <v>44358</v>
      </c>
      <c r="D1661" s="3">
        <v>589.6</v>
      </c>
    </row>
    <row r="1662" spans="1:4" ht="14.7" hidden="1" thickBot="1" x14ac:dyDescent="0.6">
      <c r="A1662" s="1" t="s">
        <v>20</v>
      </c>
      <c r="B1662" t="str">
        <f>VLOOKUP(A1662,'Area Breakdown'!$B$1:$C$33,2,)</f>
        <v>Downtown</v>
      </c>
      <c r="C1662" s="2">
        <v>44358</v>
      </c>
      <c r="D1662" s="3">
        <v>576.80000000000007</v>
      </c>
    </row>
    <row r="1663" spans="1:4" ht="14.7" hidden="1" thickBot="1" x14ac:dyDescent="0.6">
      <c r="A1663" s="1" t="s">
        <v>4</v>
      </c>
      <c r="B1663" t="str">
        <f>VLOOKUP(A1663,'Area Breakdown'!$B$1:$C$33,2,)</f>
        <v>Downtown</v>
      </c>
      <c r="C1663" s="2">
        <v>44358</v>
      </c>
      <c r="D1663" s="3">
        <v>503.6</v>
      </c>
    </row>
    <row r="1664" spans="1:4" ht="14.7" hidden="1" thickBot="1" x14ac:dyDescent="0.6">
      <c r="A1664" s="1" t="s">
        <v>13</v>
      </c>
      <c r="B1664" t="str">
        <f>VLOOKUP(A1664,'Area Breakdown'!$B$1:$C$33,2,)</f>
        <v>Heliopolis</v>
      </c>
      <c r="C1664" s="2">
        <v>44358</v>
      </c>
      <c r="D1664" s="3">
        <v>495.20000000000005</v>
      </c>
    </row>
    <row r="1665" spans="1:4" ht="14.7" hidden="1" thickBot="1" x14ac:dyDescent="0.6">
      <c r="A1665" s="1" t="s">
        <v>2</v>
      </c>
      <c r="B1665" t="str">
        <f>VLOOKUP(A1665,'Area Breakdown'!$B$1:$C$33,2,)</f>
        <v>Downtown</v>
      </c>
      <c r="C1665" s="2">
        <v>44358</v>
      </c>
      <c r="D1665" s="3">
        <v>478</v>
      </c>
    </row>
    <row r="1666" spans="1:4" ht="14.7" hidden="1" thickBot="1" x14ac:dyDescent="0.6">
      <c r="A1666" s="1" t="s">
        <v>19</v>
      </c>
      <c r="B1666" t="str">
        <f>VLOOKUP(A1666,'Area Breakdown'!$B$1:$C$33,2,)</f>
        <v>Downtown</v>
      </c>
      <c r="C1666" s="2">
        <v>44358</v>
      </c>
      <c r="D1666" s="3">
        <v>408.8</v>
      </c>
    </row>
    <row r="1667" spans="1:4" ht="14.7" hidden="1" thickBot="1" x14ac:dyDescent="0.6">
      <c r="A1667" s="1" t="s">
        <v>8</v>
      </c>
      <c r="B1667" t="str">
        <f>VLOOKUP(A1667,'Area Breakdown'!$B$1:$C$33,2,)</f>
        <v>Heliopolis</v>
      </c>
      <c r="C1667" s="2">
        <v>44358</v>
      </c>
      <c r="D1667" s="3">
        <v>387.20000000000005</v>
      </c>
    </row>
    <row r="1668" spans="1:4" ht="14.7" hidden="1" thickBot="1" x14ac:dyDescent="0.6">
      <c r="A1668" s="1" t="s">
        <v>6</v>
      </c>
      <c r="B1668" t="str">
        <f>VLOOKUP(A1668,'Area Breakdown'!$B$1:$C$33,2,)</f>
        <v xml:space="preserve">Alexandria </v>
      </c>
      <c r="C1668" s="2">
        <v>44358</v>
      </c>
      <c r="D1668" s="3">
        <v>375.6</v>
      </c>
    </row>
    <row r="1669" spans="1:4" ht="14.7" hidden="1" thickBot="1" x14ac:dyDescent="0.6">
      <c r="A1669" s="1" t="s">
        <v>3</v>
      </c>
      <c r="B1669" t="str">
        <f>VLOOKUP(A1669,'Area Breakdown'!$B$1:$C$33,2,)</f>
        <v>Downtown</v>
      </c>
      <c r="C1669" s="2">
        <v>44358</v>
      </c>
      <c r="D1669" s="3">
        <v>370</v>
      </c>
    </row>
    <row r="1670" spans="1:4" ht="14.7" hidden="1" thickBot="1" x14ac:dyDescent="0.6">
      <c r="A1670" s="1" t="s">
        <v>15</v>
      </c>
      <c r="B1670" t="str">
        <f>VLOOKUP(A1670,'Area Breakdown'!$B$1:$C$33,2,)</f>
        <v>Heliopolis</v>
      </c>
      <c r="C1670" s="2">
        <v>44358</v>
      </c>
      <c r="D1670" s="3">
        <v>341.20000000000005</v>
      </c>
    </row>
    <row r="1671" spans="1:4" ht="14.7" hidden="1" thickBot="1" x14ac:dyDescent="0.6">
      <c r="A1671" s="1" t="s">
        <v>7</v>
      </c>
      <c r="B1671" t="str">
        <f>VLOOKUP(A1671,'Area Breakdown'!$B$1:$C$33,2,)</f>
        <v>October</v>
      </c>
      <c r="C1671" s="2">
        <v>44358</v>
      </c>
      <c r="D1671" s="3">
        <v>182.4</v>
      </c>
    </row>
    <row r="1672" spans="1:4" ht="14.7" hidden="1" thickBot="1" x14ac:dyDescent="0.6">
      <c r="A1672" s="1" t="s">
        <v>23</v>
      </c>
      <c r="B1672" t="str">
        <f>VLOOKUP(A1672,'Area Breakdown'!$B$1:$C$33,2,)</f>
        <v>Heliopolis</v>
      </c>
      <c r="C1672" s="2">
        <v>44358</v>
      </c>
      <c r="D1672" s="3">
        <v>154</v>
      </c>
    </row>
    <row r="1673" spans="1:4" ht="14.7" hidden="1" thickBot="1" x14ac:dyDescent="0.6">
      <c r="A1673" s="1" t="s">
        <v>21</v>
      </c>
      <c r="B1673" t="str">
        <f>VLOOKUP(A1673,'Area Breakdown'!$B$1:$C$33,2,)</f>
        <v>Heliopolis</v>
      </c>
      <c r="C1673" s="2">
        <v>44358</v>
      </c>
      <c r="D1673" s="3">
        <v>1303.2</v>
      </c>
    </row>
    <row r="1674" spans="1:4" ht="14.7" hidden="1" thickBot="1" x14ac:dyDescent="0.6">
      <c r="A1674" s="1" t="s">
        <v>21</v>
      </c>
      <c r="B1674" t="str">
        <f>VLOOKUP(A1674,'Area Breakdown'!$B$1:$C$33,2,)</f>
        <v>Heliopolis</v>
      </c>
      <c r="C1674" s="2">
        <v>44359</v>
      </c>
      <c r="D1674" s="3">
        <v>1244</v>
      </c>
    </row>
    <row r="1675" spans="1:4" ht="14.7" hidden="1" thickBot="1" x14ac:dyDescent="0.6">
      <c r="A1675" s="1" t="s">
        <v>12</v>
      </c>
      <c r="B1675" t="str">
        <f>VLOOKUP(A1675,'Area Breakdown'!$B$1:$C$33,2,)</f>
        <v>New Cairo</v>
      </c>
      <c r="C1675" s="2">
        <v>44359</v>
      </c>
      <c r="D1675" s="3">
        <v>1139.2</v>
      </c>
    </row>
    <row r="1676" spans="1:4" ht="14.7" hidden="1" thickBot="1" x14ac:dyDescent="0.6">
      <c r="A1676" s="1" t="s">
        <v>16</v>
      </c>
      <c r="B1676" t="str">
        <f>VLOOKUP(A1676,'Area Breakdown'!$B$1:$C$33,2,)</f>
        <v>Downtown</v>
      </c>
      <c r="C1676" s="2">
        <v>44359</v>
      </c>
      <c r="D1676" s="3">
        <v>1076.8</v>
      </c>
    </row>
    <row r="1677" spans="1:4" ht="14.7" hidden="1" thickBot="1" x14ac:dyDescent="0.6">
      <c r="A1677" s="1" t="s">
        <v>22</v>
      </c>
      <c r="B1677" t="str">
        <f>VLOOKUP(A1677,'Area Breakdown'!$B$1:$C$33,2,)</f>
        <v>Heliopolis</v>
      </c>
      <c r="C1677" s="2">
        <v>44359</v>
      </c>
      <c r="D1677" s="3">
        <v>941.2</v>
      </c>
    </row>
    <row r="1678" spans="1:4" ht="14.7" hidden="1" thickBot="1" x14ac:dyDescent="0.6">
      <c r="A1678" s="1" t="s">
        <v>0</v>
      </c>
      <c r="B1678" t="str">
        <f>VLOOKUP(A1678,'Area Breakdown'!$B$1:$C$33,2,)</f>
        <v>Downtown</v>
      </c>
      <c r="C1678" s="2">
        <v>44359</v>
      </c>
      <c r="D1678" s="3">
        <v>925.6</v>
      </c>
    </row>
    <row r="1679" spans="1:4" ht="14.7" hidden="1" thickBot="1" x14ac:dyDescent="0.6">
      <c r="A1679" s="1" t="s">
        <v>24</v>
      </c>
      <c r="B1679" t="str">
        <f>VLOOKUP(A1679,'Area Breakdown'!$B$1:$C$33,2,)</f>
        <v>October</v>
      </c>
      <c r="C1679" s="2">
        <v>44359</v>
      </c>
      <c r="D1679" s="3">
        <v>894</v>
      </c>
    </row>
    <row r="1680" spans="1:4" ht="14.7" hidden="1" thickBot="1" x14ac:dyDescent="0.6">
      <c r="A1680" s="1" t="s">
        <v>19</v>
      </c>
      <c r="B1680" t="str">
        <f>VLOOKUP(A1680,'Area Breakdown'!$B$1:$C$33,2,)</f>
        <v>Downtown</v>
      </c>
      <c r="C1680" s="2">
        <v>44359</v>
      </c>
      <c r="D1680" s="3">
        <v>836.40000000000009</v>
      </c>
    </row>
    <row r="1681" spans="1:4" ht="14.7" hidden="1" thickBot="1" x14ac:dyDescent="0.6">
      <c r="A1681" s="1" t="s">
        <v>27</v>
      </c>
      <c r="B1681" t="str">
        <f>VLOOKUP(A1681,'Area Breakdown'!$B$1:$C$33,2,)</f>
        <v xml:space="preserve">Alexandria </v>
      </c>
      <c r="C1681" s="2">
        <v>44359</v>
      </c>
      <c r="D1681" s="3">
        <v>742.40000000000009</v>
      </c>
    </row>
    <row r="1682" spans="1:4" ht="14.7" hidden="1" thickBot="1" x14ac:dyDescent="0.6">
      <c r="A1682" s="1" t="s">
        <v>13</v>
      </c>
      <c r="B1682" t="str">
        <f>VLOOKUP(A1682,'Area Breakdown'!$B$1:$C$33,2,)</f>
        <v>Heliopolis</v>
      </c>
      <c r="C1682" s="2">
        <v>44359</v>
      </c>
      <c r="D1682" s="3">
        <v>640</v>
      </c>
    </row>
    <row r="1683" spans="1:4" ht="14.7" hidden="1" thickBot="1" x14ac:dyDescent="0.6">
      <c r="A1683" s="1" t="s">
        <v>9</v>
      </c>
      <c r="B1683" t="str">
        <f>VLOOKUP(A1683,'Area Breakdown'!$B$1:$C$33,2,)</f>
        <v xml:space="preserve">Alexandria </v>
      </c>
      <c r="C1683" s="2">
        <v>44359</v>
      </c>
      <c r="D1683" s="3">
        <v>618.40000000000009</v>
      </c>
    </row>
    <row r="1684" spans="1:4" ht="14.7" hidden="1" thickBot="1" x14ac:dyDescent="0.6">
      <c r="A1684" s="1" t="s">
        <v>20</v>
      </c>
      <c r="B1684" t="str">
        <f>VLOOKUP(A1684,'Area Breakdown'!$B$1:$C$33,2,)</f>
        <v>Downtown</v>
      </c>
      <c r="C1684" s="2">
        <v>44359</v>
      </c>
      <c r="D1684" s="3">
        <v>600</v>
      </c>
    </row>
    <row r="1685" spans="1:4" ht="14.7" hidden="1" thickBot="1" x14ac:dyDescent="0.6">
      <c r="A1685" s="1" t="s">
        <v>25</v>
      </c>
      <c r="B1685" t="str">
        <f>VLOOKUP(A1685,'Area Breakdown'!$B$1:$C$33,2,)</f>
        <v>October</v>
      </c>
      <c r="C1685" s="2">
        <v>44359</v>
      </c>
      <c r="D1685" s="3">
        <v>580</v>
      </c>
    </row>
    <row r="1686" spans="1:4" ht="14.7" hidden="1" thickBot="1" x14ac:dyDescent="0.6">
      <c r="A1686" s="1" t="s">
        <v>3</v>
      </c>
      <c r="B1686" t="str">
        <f>VLOOKUP(A1686,'Area Breakdown'!$B$1:$C$33,2,)</f>
        <v>Downtown</v>
      </c>
      <c r="C1686" s="2">
        <v>44359</v>
      </c>
      <c r="D1686" s="3">
        <v>562</v>
      </c>
    </row>
    <row r="1687" spans="1:4" ht="14.7" hidden="1" thickBot="1" x14ac:dyDescent="0.6">
      <c r="A1687" s="1" t="s">
        <v>10</v>
      </c>
      <c r="B1687" t="str">
        <f>VLOOKUP(A1687,'Area Breakdown'!$B$1:$C$33,2,)</f>
        <v xml:space="preserve">Alexandria </v>
      </c>
      <c r="C1687" s="2">
        <v>44359</v>
      </c>
      <c r="D1687" s="3">
        <v>518.4</v>
      </c>
    </row>
    <row r="1688" spans="1:4" ht="14.7" hidden="1" thickBot="1" x14ac:dyDescent="0.6">
      <c r="A1688" s="1" t="s">
        <v>11</v>
      </c>
      <c r="B1688" t="str">
        <f>VLOOKUP(A1688,'Area Breakdown'!$B$1:$C$33,2,)</f>
        <v>New Cairo</v>
      </c>
      <c r="C1688" s="2">
        <v>44359</v>
      </c>
      <c r="D1688" s="3">
        <v>485.6</v>
      </c>
    </row>
    <row r="1689" spans="1:4" ht="14.7" hidden="1" thickBot="1" x14ac:dyDescent="0.6">
      <c r="A1689" s="1" t="s">
        <v>2</v>
      </c>
      <c r="B1689" t="str">
        <f>VLOOKUP(A1689,'Area Breakdown'!$B$1:$C$33,2,)</f>
        <v>Downtown</v>
      </c>
      <c r="C1689" s="2">
        <v>44359</v>
      </c>
      <c r="D1689" s="3">
        <v>438.8</v>
      </c>
    </row>
    <row r="1690" spans="1:4" ht="14.7" hidden="1" thickBot="1" x14ac:dyDescent="0.6">
      <c r="A1690" s="1" t="s">
        <v>4</v>
      </c>
      <c r="B1690" t="str">
        <f>VLOOKUP(A1690,'Area Breakdown'!$B$1:$C$33,2,)</f>
        <v>Downtown</v>
      </c>
      <c r="C1690" s="2">
        <v>44359</v>
      </c>
      <c r="D1690" s="3">
        <v>347.6</v>
      </c>
    </row>
    <row r="1691" spans="1:4" ht="14.7" hidden="1" thickBot="1" x14ac:dyDescent="0.6">
      <c r="A1691" s="1" t="s">
        <v>6</v>
      </c>
      <c r="B1691" t="str">
        <f>VLOOKUP(A1691,'Area Breakdown'!$B$1:$C$33,2,)</f>
        <v xml:space="preserve">Alexandria </v>
      </c>
      <c r="C1691" s="2">
        <v>44359</v>
      </c>
      <c r="D1691" s="3">
        <v>279.2</v>
      </c>
    </row>
    <row r="1692" spans="1:4" ht="14.7" hidden="1" thickBot="1" x14ac:dyDescent="0.6">
      <c r="A1692" s="1" t="s">
        <v>7</v>
      </c>
      <c r="B1692" t="str">
        <f>VLOOKUP(A1692,'Area Breakdown'!$B$1:$C$33,2,)</f>
        <v>October</v>
      </c>
      <c r="C1692" s="2">
        <v>44359</v>
      </c>
      <c r="D1692" s="3">
        <v>273.60000000000002</v>
      </c>
    </row>
    <row r="1693" spans="1:4" ht="14.7" hidden="1" thickBot="1" x14ac:dyDescent="0.6">
      <c r="A1693" s="1" t="s">
        <v>1</v>
      </c>
      <c r="B1693" t="str">
        <f>VLOOKUP(A1693,'Area Breakdown'!$B$1:$C$33,2,)</f>
        <v>Downtown</v>
      </c>
      <c r="C1693" s="2">
        <v>44359</v>
      </c>
      <c r="D1693" s="3">
        <v>262</v>
      </c>
    </row>
    <row r="1694" spans="1:4" ht="14.7" hidden="1" thickBot="1" x14ac:dyDescent="0.6">
      <c r="A1694" s="1" t="s">
        <v>8</v>
      </c>
      <c r="B1694" t="str">
        <f>VLOOKUP(A1694,'Area Breakdown'!$B$1:$C$33,2,)</f>
        <v>Heliopolis</v>
      </c>
      <c r="C1694" s="2">
        <v>44359</v>
      </c>
      <c r="D1694" s="3">
        <v>208.4</v>
      </c>
    </row>
    <row r="1695" spans="1:4" ht="14.7" hidden="1" thickBot="1" x14ac:dyDescent="0.6">
      <c r="A1695" s="1" t="s">
        <v>15</v>
      </c>
      <c r="B1695" t="str">
        <f>VLOOKUP(A1695,'Area Breakdown'!$B$1:$C$33,2,)</f>
        <v>Heliopolis</v>
      </c>
      <c r="C1695" s="2">
        <v>44359</v>
      </c>
      <c r="D1695" s="3">
        <v>164.4</v>
      </c>
    </row>
    <row r="1696" spans="1:4" ht="14.7" hidden="1" thickBot="1" x14ac:dyDescent="0.6">
      <c r="A1696" s="1" t="s">
        <v>17</v>
      </c>
      <c r="B1696" t="str">
        <f>VLOOKUP(A1696,'Area Breakdown'!$B$1:$C$33,2,)</f>
        <v>Heliopolis</v>
      </c>
      <c r="C1696" s="2">
        <v>44359</v>
      </c>
      <c r="D1696" s="3">
        <v>158.4</v>
      </c>
    </row>
    <row r="1697" spans="1:4" ht="14.7" hidden="1" thickBot="1" x14ac:dyDescent="0.6">
      <c r="A1697" s="1" t="s">
        <v>23</v>
      </c>
      <c r="B1697" t="str">
        <f>VLOOKUP(A1697,'Area Breakdown'!$B$1:$C$33,2,)</f>
        <v>Heliopolis</v>
      </c>
      <c r="C1697" s="2">
        <v>44359</v>
      </c>
      <c r="D1697" s="3">
        <v>157.60000000000002</v>
      </c>
    </row>
    <row r="1698" spans="1:4" ht="14.7" hidden="1" thickBot="1" x14ac:dyDescent="0.6">
      <c r="A1698" s="1" t="s">
        <v>19</v>
      </c>
      <c r="B1698" t="str">
        <f>VLOOKUP(A1698,'Area Breakdown'!$B$1:$C$33,2,)</f>
        <v>Downtown</v>
      </c>
      <c r="C1698" s="2">
        <v>44360</v>
      </c>
      <c r="D1698" s="3">
        <v>1266.4000000000001</v>
      </c>
    </row>
    <row r="1699" spans="1:4" ht="14.7" hidden="1" thickBot="1" x14ac:dyDescent="0.6">
      <c r="A1699" s="1" t="s">
        <v>20</v>
      </c>
      <c r="B1699" t="str">
        <f>VLOOKUP(A1699,'Area Breakdown'!$B$1:$C$33,2,)</f>
        <v>Downtown</v>
      </c>
      <c r="C1699" s="2">
        <v>44360</v>
      </c>
      <c r="D1699" s="3">
        <v>1242.4000000000001</v>
      </c>
    </row>
    <row r="1700" spans="1:4" ht="14.7" hidden="1" thickBot="1" x14ac:dyDescent="0.6">
      <c r="A1700" s="1" t="s">
        <v>22</v>
      </c>
      <c r="B1700" t="str">
        <f>VLOOKUP(A1700,'Area Breakdown'!$B$1:$C$33,2,)</f>
        <v>Heliopolis</v>
      </c>
      <c r="C1700" s="2">
        <v>44360</v>
      </c>
      <c r="D1700" s="3">
        <v>1068</v>
      </c>
    </row>
    <row r="1701" spans="1:4" ht="14.7" hidden="1" thickBot="1" x14ac:dyDescent="0.6">
      <c r="A1701" s="1" t="s">
        <v>25</v>
      </c>
      <c r="B1701" t="str">
        <f>VLOOKUP(A1701,'Area Breakdown'!$B$1:$C$33,2,)</f>
        <v>October</v>
      </c>
      <c r="C1701" s="2">
        <v>44360</v>
      </c>
      <c r="D1701" s="3">
        <v>998</v>
      </c>
    </row>
    <row r="1702" spans="1:4" ht="14.7" hidden="1" thickBot="1" x14ac:dyDescent="0.6">
      <c r="A1702" s="1" t="s">
        <v>11</v>
      </c>
      <c r="B1702" t="str">
        <f>VLOOKUP(A1702,'Area Breakdown'!$B$1:$C$33,2,)</f>
        <v>New Cairo</v>
      </c>
      <c r="C1702" s="2">
        <v>44360</v>
      </c>
      <c r="D1702" s="3">
        <v>977.2</v>
      </c>
    </row>
    <row r="1703" spans="1:4" ht="14.7" hidden="1" thickBot="1" x14ac:dyDescent="0.6">
      <c r="A1703" s="1" t="s">
        <v>0</v>
      </c>
      <c r="B1703" t="str">
        <f>VLOOKUP(A1703,'Area Breakdown'!$B$1:$C$33,2,)</f>
        <v>Downtown</v>
      </c>
      <c r="C1703" s="2">
        <v>44360</v>
      </c>
      <c r="D1703" s="3">
        <v>965.6</v>
      </c>
    </row>
    <row r="1704" spans="1:4" ht="14.7" hidden="1" thickBot="1" x14ac:dyDescent="0.6">
      <c r="A1704" s="1" t="s">
        <v>1</v>
      </c>
      <c r="B1704" t="str">
        <f>VLOOKUP(A1704,'Area Breakdown'!$B$1:$C$33,2,)</f>
        <v>Downtown</v>
      </c>
      <c r="C1704" s="2">
        <v>44360</v>
      </c>
      <c r="D1704" s="3">
        <v>956</v>
      </c>
    </row>
    <row r="1705" spans="1:4" ht="14.7" hidden="1" thickBot="1" x14ac:dyDescent="0.6">
      <c r="A1705" s="1" t="s">
        <v>27</v>
      </c>
      <c r="B1705" t="str">
        <f>VLOOKUP(A1705,'Area Breakdown'!$B$1:$C$33,2,)</f>
        <v xml:space="preserve">Alexandria </v>
      </c>
      <c r="C1705" s="2">
        <v>44360</v>
      </c>
      <c r="D1705" s="3">
        <v>874.40000000000009</v>
      </c>
    </row>
    <row r="1706" spans="1:4" ht="14.7" hidden="1" thickBot="1" x14ac:dyDescent="0.6">
      <c r="A1706" s="1" t="s">
        <v>24</v>
      </c>
      <c r="B1706" t="str">
        <f>VLOOKUP(A1706,'Area Breakdown'!$B$1:$C$33,2,)</f>
        <v>October</v>
      </c>
      <c r="C1706" s="2">
        <v>44360</v>
      </c>
      <c r="D1706" s="3">
        <v>837.6</v>
      </c>
    </row>
    <row r="1707" spans="1:4" ht="14.7" hidden="1" thickBot="1" x14ac:dyDescent="0.6">
      <c r="A1707" s="1" t="s">
        <v>21</v>
      </c>
      <c r="B1707" t="str">
        <f>VLOOKUP(A1707,'Area Breakdown'!$B$1:$C$33,2,)</f>
        <v>Heliopolis</v>
      </c>
      <c r="C1707" s="2">
        <v>44360</v>
      </c>
      <c r="D1707" s="3">
        <v>816</v>
      </c>
    </row>
    <row r="1708" spans="1:4" ht="14.7" hidden="1" thickBot="1" x14ac:dyDescent="0.6">
      <c r="A1708" s="1" t="s">
        <v>3</v>
      </c>
      <c r="B1708" t="str">
        <f>VLOOKUP(A1708,'Area Breakdown'!$B$1:$C$33,2,)</f>
        <v>Downtown</v>
      </c>
      <c r="C1708" s="2">
        <v>44360</v>
      </c>
      <c r="D1708" s="3">
        <v>786</v>
      </c>
    </row>
    <row r="1709" spans="1:4" ht="14.7" hidden="1" thickBot="1" x14ac:dyDescent="0.6">
      <c r="A1709" s="1" t="s">
        <v>13</v>
      </c>
      <c r="B1709" t="str">
        <f>VLOOKUP(A1709,'Area Breakdown'!$B$1:$C$33,2,)</f>
        <v>Heliopolis</v>
      </c>
      <c r="C1709" s="2">
        <v>44360</v>
      </c>
      <c r="D1709" s="3">
        <v>753.2</v>
      </c>
    </row>
    <row r="1710" spans="1:4" ht="14.7" hidden="1" thickBot="1" x14ac:dyDescent="0.6">
      <c r="A1710" s="1" t="s">
        <v>6</v>
      </c>
      <c r="B1710" t="str">
        <f>VLOOKUP(A1710,'Area Breakdown'!$B$1:$C$33,2,)</f>
        <v xml:space="preserve">Alexandria </v>
      </c>
      <c r="C1710" s="2">
        <v>44360</v>
      </c>
      <c r="D1710" s="3">
        <v>707.6</v>
      </c>
    </row>
    <row r="1711" spans="1:4" ht="14.7" hidden="1" thickBot="1" x14ac:dyDescent="0.6">
      <c r="A1711" s="1" t="s">
        <v>16</v>
      </c>
      <c r="B1711" t="str">
        <f>VLOOKUP(A1711,'Area Breakdown'!$B$1:$C$33,2,)</f>
        <v>Downtown</v>
      </c>
      <c r="C1711" s="2">
        <v>44360</v>
      </c>
      <c r="D1711" s="3">
        <v>685.6</v>
      </c>
    </row>
    <row r="1712" spans="1:4" ht="14.7" hidden="1" thickBot="1" x14ac:dyDescent="0.6">
      <c r="A1712" s="1" t="s">
        <v>2</v>
      </c>
      <c r="B1712" t="str">
        <f>VLOOKUP(A1712,'Area Breakdown'!$B$1:$C$33,2,)</f>
        <v>Downtown</v>
      </c>
      <c r="C1712" s="2">
        <v>44360</v>
      </c>
      <c r="D1712" s="3">
        <v>680</v>
      </c>
    </row>
    <row r="1713" spans="1:4" ht="14.7" hidden="1" thickBot="1" x14ac:dyDescent="0.6">
      <c r="A1713" s="1" t="s">
        <v>9</v>
      </c>
      <c r="B1713" t="str">
        <f>VLOOKUP(A1713,'Area Breakdown'!$B$1:$C$33,2,)</f>
        <v xml:space="preserve">Alexandria </v>
      </c>
      <c r="C1713" s="2">
        <v>44360</v>
      </c>
      <c r="D1713" s="3">
        <v>654</v>
      </c>
    </row>
    <row r="1714" spans="1:4" ht="14.7" hidden="1" thickBot="1" x14ac:dyDescent="0.6">
      <c r="A1714" s="1" t="s">
        <v>8</v>
      </c>
      <c r="B1714" t="str">
        <f>VLOOKUP(A1714,'Area Breakdown'!$B$1:$C$33,2,)</f>
        <v>Heliopolis</v>
      </c>
      <c r="C1714" s="2">
        <v>44360</v>
      </c>
      <c r="D1714" s="3">
        <v>628.80000000000007</v>
      </c>
    </row>
    <row r="1715" spans="1:4" ht="14.7" hidden="1" thickBot="1" x14ac:dyDescent="0.6">
      <c r="A1715" s="1" t="s">
        <v>10</v>
      </c>
      <c r="B1715" t="str">
        <f>VLOOKUP(A1715,'Area Breakdown'!$B$1:$C$33,2,)</f>
        <v xml:space="preserve">Alexandria </v>
      </c>
      <c r="C1715" s="2">
        <v>44360</v>
      </c>
      <c r="D1715" s="3">
        <v>591.6</v>
      </c>
    </row>
    <row r="1716" spans="1:4" ht="14.7" hidden="1" thickBot="1" x14ac:dyDescent="0.6">
      <c r="A1716" s="1" t="s">
        <v>4</v>
      </c>
      <c r="B1716" t="str">
        <f>VLOOKUP(A1716,'Area Breakdown'!$B$1:$C$33,2,)</f>
        <v>Downtown</v>
      </c>
      <c r="C1716" s="2">
        <v>44360</v>
      </c>
      <c r="D1716" s="3">
        <v>529.6</v>
      </c>
    </row>
    <row r="1717" spans="1:4" ht="14.7" hidden="1" thickBot="1" x14ac:dyDescent="0.6">
      <c r="A1717" s="1" t="s">
        <v>17</v>
      </c>
      <c r="B1717" t="str">
        <f>VLOOKUP(A1717,'Area Breakdown'!$B$1:$C$33,2,)</f>
        <v>Heliopolis</v>
      </c>
      <c r="C1717" s="2">
        <v>44360</v>
      </c>
      <c r="D1717" s="3">
        <v>384.40000000000003</v>
      </c>
    </row>
    <row r="1718" spans="1:4" ht="14.7" hidden="1" thickBot="1" x14ac:dyDescent="0.6">
      <c r="A1718" s="1" t="s">
        <v>23</v>
      </c>
      <c r="B1718" t="str">
        <f>VLOOKUP(A1718,'Area Breakdown'!$B$1:$C$33,2,)</f>
        <v>Heliopolis</v>
      </c>
      <c r="C1718" s="2">
        <v>44360</v>
      </c>
      <c r="D1718" s="3">
        <v>362.8</v>
      </c>
    </row>
    <row r="1719" spans="1:4" ht="14.7" hidden="1" thickBot="1" x14ac:dyDescent="0.6">
      <c r="A1719" s="1" t="s">
        <v>15</v>
      </c>
      <c r="B1719" t="str">
        <f>VLOOKUP(A1719,'Area Breakdown'!$B$1:$C$33,2,)</f>
        <v>Heliopolis</v>
      </c>
      <c r="C1719" s="2">
        <v>44360</v>
      </c>
      <c r="D1719" s="3">
        <v>348.40000000000003</v>
      </c>
    </row>
    <row r="1720" spans="1:4" ht="14.7" hidden="1" thickBot="1" x14ac:dyDescent="0.6">
      <c r="A1720" s="1" t="s">
        <v>7</v>
      </c>
      <c r="B1720" t="str">
        <f>VLOOKUP(A1720,'Area Breakdown'!$B$1:$C$33,2,)</f>
        <v>October</v>
      </c>
      <c r="C1720" s="2">
        <v>44360</v>
      </c>
      <c r="D1720" s="3">
        <v>207.20000000000002</v>
      </c>
    </row>
    <row r="1721" spans="1:4" ht="14.7" hidden="1" thickBot="1" x14ac:dyDescent="0.6">
      <c r="A1721" s="1" t="s">
        <v>12</v>
      </c>
      <c r="B1721" t="str">
        <f>VLOOKUP(A1721,'Area Breakdown'!$B$1:$C$33,2,)</f>
        <v>New Cairo</v>
      </c>
      <c r="C1721" s="2">
        <v>44360</v>
      </c>
      <c r="D1721" s="3">
        <v>2230</v>
      </c>
    </row>
    <row r="1722" spans="1:4" ht="14.7" hidden="1" thickBot="1" x14ac:dyDescent="0.6">
      <c r="A1722" s="1" t="s">
        <v>21</v>
      </c>
      <c r="B1722" t="str">
        <f>VLOOKUP(A1722,'Area Breakdown'!$B$1:$C$33,2,)</f>
        <v>Heliopolis</v>
      </c>
      <c r="C1722" s="2">
        <v>44361</v>
      </c>
      <c r="D1722" s="3">
        <v>1412.8000000000002</v>
      </c>
    </row>
    <row r="1723" spans="1:4" ht="14.7" hidden="1" thickBot="1" x14ac:dyDescent="0.6">
      <c r="A1723" s="1" t="s">
        <v>19</v>
      </c>
      <c r="B1723" t="str">
        <f>VLOOKUP(A1723,'Area Breakdown'!$B$1:$C$33,2,)</f>
        <v>Downtown</v>
      </c>
      <c r="C1723" s="2">
        <v>44361</v>
      </c>
      <c r="D1723" s="3">
        <v>1350.4</v>
      </c>
    </row>
    <row r="1724" spans="1:4" ht="14.7" hidden="1" thickBot="1" x14ac:dyDescent="0.6">
      <c r="A1724" s="1" t="s">
        <v>24</v>
      </c>
      <c r="B1724" t="str">
        <f>VLOOKUP(A1724,'Area Breakdown'!$B$1:$C$33,2,)</f>
        <v>October</v>
      </c>
      <c r="C1724" s="2">
        <v>44361</v>
      </c>
      <c r="D1724" s="3">
        <v>1115.2</v>
      </c>
    </row>
    <row r="1725" spans="1:4" ht="14.7" hidden="1" thickBot="1" x14ac:dyDescent="0.6">
      <c r="A1725" s="1" t="s">
        <v>1</v>
      </c>
      <c r="B1725" t="str">
        <f>VLOOKUP(A1725,'Area Breakdown'!$B$1:$C$33,2,)</f>
        <v>Downtown</v>
      </c>
      <c r="C1725" s="2">
        <v>44361</v>
      </c>
      <c r="D1725" s="3">
        <v>1102.8</v>
      </c>
    </row>
    <row r="1726" spans="1:4" ht="14.7" hidden="1" thickBot="1" x14ac:dyDescent="0.6">
      <c r="A1726" s="1" t="s">
        <v>22</v>
      </c>
      <c r="B1726" t="str">
        <f>VLOOKUP(A1726,'Area Breakdown'!$B$1:$C$33,2,)</f>
        <v>Heliopolis</v>
      </c>
      <c r="C1726" s="2">
        <v>44361</v>
      </c>
      <c r="D1726" s="3">
        <v>1004.4000000000001</v>
      </c>
    </row>
    <row r="1727" spans="1:4" ht="14.7" hidden="1" thickBot="1" x14ac:dyDescent="0.6">
      <c r="A1727" s="1" t="s">
        <v>0</v>
      </c>
      <c r="B1727" t="str">
        <f>VLOOKUP(A1727,'Area Breakdown'!$B$1:$C$33,2,)</f>
        <v>Downtown</v>
      </c>
      <c r="C1727" s="2">
        <v>44361</v>
      </c>
      <c r="D1727" s="3">
        <v>986</v>
      </c>
    </row>
    <row r="1728" spans="1:4" ht="14.7" hidden="1" thickBot="1" x14ac:dyDescent="0.6">
      <c r="A1728" s="1" t="s">
        <v>20</v>
      </c>
      <c r="B1728" t="str">
        <f>VLOOKUP(A1728,'Area Breakdown'!$B$1:$C$33,2,)</f>
        <v>Downtown</v>
      </c>
      <c r="C1728" s="2">
        <v>44361</v>
      </c>
      <c r="D1728" s="3">
        <v>968.40000000000009</v>
      </c>
    </row>
    <row r="1729" spans="1:4" ht="14.7" hidden="1" thickBot="1" x14ac:dyDescent="0.6">
      <c r="A1729" s="1" t="s">
        <v>25</v>
      </c>
      <c r="B1729" t="str">
        <f>VLOOKUP(A1729,'Area Breakdown'!$B$1:$C$33,2,)</f>
        <v>October</v>
      </c>
      <c r="C1729" s="2">
        <v>44361</v>
      </c>
      <c r="D1729" s="3">
        <v>964</v>
      </c>
    </row>
    <row r="1730" spans="1:4" ht="14.7" hidden="1" thickBot="1" x14ac:dyDescent="0.6">
      <c r="A1730" s="1" t="s">
        <v>10</v>
      </c>
      <c r="B1730" t="str">
        <f>VLOOKUP(A1730,'Area Breakdown'!$B$1:$C$33,2,)</f>
        <v xml:space="preserve">Alexandria </v>
      </c>
      <c r="C1730" s="2">
        <v>44361</v>
      </c>
      <c r="D1730" s="3">
        <v>882.40000000000009</v>
      </c>
    </row>
    <row r="1731" spans="1:4" ht="14.7" hidden="1" thickBot="1" x14ac:dyDescent="0.6">
      <c r="A1731" s="1" t="s">
        <v>8</v>
      </c>
      <c r="B1731" t="str">
        <f>VLOOKUP(A1731,'Area Breakdown'!$B$1:$C$33,2,)</f>
        <v>Heliopolis</v>
      </c>
      <c r="C1731" s="2">
        <v>44361</v>
      </c>
      <c r="D1731" s="3">
        <v>870.80000000000007</v>
      </c>
    </row>
    <row r="1732" spans="1:4" ht="14.7" hidden="1" thickBot="1" x14ac:dyDescent="0.6">
      <c r="A1732" s="1" t="s">
        <v>3</v>
      </c>
      <c r="B1732" t="str">
        <f>VLOOKUP(A1732,'Area Breakdown'!$B$1:$C$33,2,)</f>
        <v>Downtown</v>
      </c>
      <c r="C1732" s="2">
        <v>44361</v>
      </c>
      <c r="D1732" s="3">
        <v>866.80000000000007</v>
      </c>
    </row>
    <row r="1733" spans="1:4" ht="14.7" hidden="1" thickBot="1" x14ac:dyDescent="0.6">
      <c r="A1733" s="1" t="s">
        <v>2</v>
      </c>
      <c r="B1733" t="str">
        <f>VLOOKUP(A1733,'Area Breakdown'!$B$1:$C$33,2,)</f>
        <v>Downtown</v>
      </c>
      <c r="C1733" s="2">
        <v>44361</v>
      </c>
      <c r="D1733" s="3">
        <v>829.2</v>
      </c>
    </row>
    <row r="1734" spans="1:4" ht="14.7" hidden="1" thickBot="1" x14ac:dyDescent="0.6">
      <c r="A1734" s="1" t="s">
        <v>9</v>
      </c>
      <c r="B1734" t="str">
        <f>VLOOKUP(A1734,'Area Breakdown'!$B$1:$C$33,2,)</f>
        <v xml:space="preserve">Alexandria </v>
      </c>
      <c r="C1734" s="2">
        <v>44361</v>
      </c>
      <c r="D1734" s="3">
        <v>804.40000000000009</v>
      </c>
    </row>
    <row r="1735" spans="1:4" ht="14.7" hidden="1" thickBot="1" x14ac:dyDescent="0.6">
      <c r="A1735" s="1" t="s">
        <v>16</v>
      </c>
      <c r="B1735" t="str">
        <f>VLOOKUP(A1735,'Area Breakdown'!$B$1:$C$33,2,)</f>
        <v>Downtown</v>
      </c>
      <c r="C1735" s="2">
        <v>44361</v>
      </c>
      <c r="D1735" s="3">
        <v>710</v>
      </c>
    </row>
    <row r="1736" spans="1:4" ht="14.7" hidden="1" thickBot="1" x14ac:dyDescent="0.6">
      <c r="A1736" s="1" t="s">
        <v>27</v>
      </c>
      <c r="B1736" t="str">
        <f>VLOOKUP(A1736,'Area Breakdown'!$B$1:$C$33,2,)</f>
        <v xml:space="preserve">Alexandria </v>
      </c>
      <c r="C1736" s="2">
        <v>44361</v>
      </c>
      <c r="D1736" s="3">
        <v>624.40000000000009</v>
      </c>
    </row>
    <row r="1737" spans="1:4" ht="14.7" hidden="1" thickBot="1" x14ac:dyDescent="0.6">
      <c r="A1737" s="1" t="s">
        <v>17</v>
      </c>
      <c r="B1737" t="str">
        <f>VLOOKUP(A1737,'Area Breakdown'!$B$1:$C$33,2,)</f>
        <v>Heliopolis</v>
      </c>
      <c r="C1737" s="2">
        <v>44361</v>
      </c>
      <c r="D1737" s="3">
        <v>616</v>
      </c>
    </row>
    <row r="1738" spans="1:4" ht="14.7" hidden="1" thickBot="1" x14ac:dyDescent="0.6">
      <c r="A1738" s="1" t="s">
        <v>13</v>
      </c>
      <c r="B1738" t="str">
        <f>VLOOKUP(A1738,'Area Breakdown'!$B$1:$C$33,2,)</f>
        <v>Heliopolis</v>
      </c>
      <c r="C1738" s="2">
        <v>44361</v>
      </c>
      <c r="D1738" s="3">
        <v>557.20000000000005</v>
      </c>
    </row>
    <row r="1739" spans="1:4" ht="14.7" hidden="1" thickBot="1" x14ac:dyDescent="0.6">
      <c r="A1739" s="1" t="s">
        <v>15</v>
      </c>
      <c r="B1739" t="str">
        <f>VLOOKUP(A1739,'Area Breakdown'!$B$1:$C$33,2,)</f>
        <v>Heliopolis</v>
      </c>
      <c r="C1739" s="2">
        <v>44361</v>
      </c>
      <c r="D1739" s="3">
        <v>477.6</v>
      </c>
    </row>
    <row r="1740" spans="1:4" ht="14.7" hidden="1" thickBot="1" x14ac:dyDescent="0.6">
      <c r="A1740" s="1" t="s">
        <v>6</v>
      </c>
      <c r="B1740" t="str">
        <f>VLOOKUP(A1740,'Area Breakdown'!$B$1:$C$33,2,)</f>
        <v xml:space="preserve">Alexandria </v>
      </c>
      <c r="C1740" s="2">
        <v>44361</v>
      </c>
      <c r="D1740" s="3">
        <v>378.40000000000003</v>
      </c>
    </row>
    <row r="1741" spans="1:4" ht="14.7" hidden="1" thickBot="1" x14ac:dyDescent="0.6">
      <c r="A1741" s="1" t="s">
        <v>4</v>
      </c>
      <c r="B1741" t="str">
        <f>VLOOKUP(A1741,'Area Breakdown'!$B$1:$C$33,2,)</f>
        <v>Downtown</v>
      </c>
      <c r="C1741" s="2">
        <v>44361</v>
      </c>
      <c r="D1741" s="3">
        <v>351.6</v>
      </c>
    </row>
    <row r="1742" spans="1:4" ht="14.7" hidden="1" thickBot="1" x14ac:dyDescent="0.6">
      <c r="A1742" s="1" t="s">
        <v>7</v>
      </c>
      <c r="B1742" t="str">
        <f>VLOOKUP(A1742,'Area Breakdown'!$B$1:$C$33,2,)</f>
        <v>October</v>
      </c>
      <c r="C1742" s="2">
        <v>44361</v>
      </c>
      <c r="D1742" s="3">
        <v>290.40000000000003</v>
      </c>
    </row>
    <row r="1743" spans="1:4" ht="14.7" hidden="1" thickBot="1" x14ac:dyDescent="0.6">
      <c r="A1743" s="1" t="s">
        <v>23</v>
      </c>
      <c r="B1743" t="str">
        <f>VLOOKUP(A1743,'Area Breakdown'!$B$1:$C$33,2,)</f>
        <v>Heliopolis</v>
      </c>
      <c r="C1743" s="2">
        <v>44361</v>
      </c>
      <c r="D1743" s="3">
        <v>197.60000000000002</v>
      </c>
    </row>
    <row r="1744" spans="1:4" ht="14.7" hidden="1" thickBot="1" x14ac:dyDescent="0.6">
      <c r="A1744" s="1" t="s">
        <v>12</v>
      </c>
      <c r="B1744" t="str">
        <f>VLOOKUP(A1744,'Area Breakdown'!$B$1:$C$33,2,)</f>
        <v>New Cairo</v>
      </c>
      <c r="C1744" s="2">
        <v>44361</v>
      </c>
      <c r="D1744" s="3">
        <v>2062.8000000000002</v>
      </c>
    </row>
    <row r="1745" spans="1:4" ht="14.7" hidden="1" thickBot="1" x14ac:dyDescent="0.6">
      <c r="A1745" s="1" t="s">
        <v>24</v>
      </c>
      <c r="B1745" t="str">
        <f>VLOOKUP(A1745,'Area Breakdown'!$B$1:$C$33,2,)</f>
        <v>October</v>
      </c>
      <c r="C1745" s="2">
        <v>44362</v>
      </c>
      <c r="D1745" s="3">
        <v>1107.2</v>
      </c>
    </row>
    <row r="1746" spans="1:4" ht="14.7" hidden="1" thickBot="1" x14ac:dyDescent="0.6">
      <c r="A1746" s="1" t="s">
        <v>21</v>
      </c>
      <c r="B1746" t="str">
        <f>VLOOKUP(A1746,'Area Breakdown'!$B$1:$C$33,2,)</f>
        <v>Heliopolis</v>
      </c>
      <c r="C1746" s="2">
        <v>44362</v>
      </c>
      <c r="D1746" s="3">
        <v>1080.8</v>
      </c>
    </row>
    <row r="1747" spans="1:4" ht="14.7" hidden="1" thickBot="1" x14ac:dyDescent="0.6">
      <c r="A1747" s="1" t="s">
        <v>25</v>
      </c>
      <c r="B1747" t="str">
        <f>VLOOKUP(A1747,'Area Breakdown'!$B$1:$C$33,2,)</f>
        <v>October</v>
      </c>
      <c r="C1747" s="2">
        <v>44362</v>
      </c>
      <c r="D1747" s="3">
        <v>1011.2</v>
      </c>
    </row>
    <row r="1748" spans="1:4" ht="14.7" hidden="1" thickBot="1" x14ac:dyDescent="0.6">
      <c r="A1748" s="1" t="s">
        <v>22</v>
      </c>
      <c r="B1748" t="str">
        <f>VLOOKUP(A1748,'Area Breakdown'!$B$1:$C$33,2,)</f>
        <v>Heliopolis</v>
      </c>
      <c r="C1748" s="2">
        <v>44362</v>
      </c>
      <c r="D1748" s="3">
        <v>1010</v>
      </c>
    </row>
    <row r="1749" spans="1:4" ht="14.7" hidden="1" thickBot="1" x14ac:dyDescent="0.6">
      <c r="A1749" s="1" t="s">
        <v>13</v>
      </c>
      <c r="B1749" t="str">
        <f>VLOOKUP(A1749,'Area Breakdown'!$B$1:$C$33,2,)</f>
        <v>Heliopolis</v>
      </c>
      <c r="C1749" s="2">
        <v>44362</v>
      </c>
      <c r="D1749" s="3">
        <v>888.80000000000007</v>
      </c>
    </row>
    <row r="1750" spans="1:4" ht="14.7" hidden="1" thickBot="1" x14ac:dyDescent="0.6">
      <c r="A1750" s="1" t="s">
        <v>2</v>
      </c>
      <c r="B1750" t="str">
        <f>VLOOKUP(A1750,'Area Breakdown'!$B$1:$C$33,2,)</f>
        <v>Downtown</v>
      </c>
      <c r="C1750" s="2">
        <v>44362</v>
      </c>
      <c r="D1750" s="3">
        <v>800</v>
      </c>
    </row>
    <row r="1751" spans="1:4" ht="14.7" hidden="1" thickBot="1" x14ac:dyDescent="0.6">
      <c r="A1751" s="1" t="s">
        <v>3</v>
      </c>
      <c r="B1751" t="str">
        <f>VLOOKUP(A1751,'Area Breakdown'!$B$1:$C$33,2,)</f>
        <v>Downtown</v>
      </c>
      <c r="C1751" s="2">
        <v>44362</v>
      </c>
      <c r="D1751" s="3">
        <v>786</v>
      </c>
    </row>
    <row r="1752" spans="1:4" ht="14.7" hidden="1" thickBot="1" x14ac:dyDescent="0.6">
      <c r="A1752" s="1" t="s">
        <v>11</v>
      </c>
      <c r="B1752" t="str">
        <f>VLOOKUP(A1752,'Area Breakdown'!$B$1:$C$33,2,)</f>
        <v>New Cairo</v>
      </c>
      <c r="C1752" s="2">
        <v>44362</v>
      </c>
      <c r="D1752" s="3">
        <v>761.2</v>
      </c>
    </row>
    <row r="1753" spans="1:4" ht="14.7" hidden="1" thickBot="1" x14ac:dyDescent="0.6">
      <c r="A1753" s="1" t="s">
        <v>16</v>
      </c>
      <c r="B1753" t="str">
        <f>VLOOKUP(A1753,'Area Breakdown'!$B$1:$C$33,2,)</f>
        <v>Downtown</v>
      </c>
      <c r="C1753" s="2">
        <v>44362</v>
      </c>
      <c r="D1753" s="3">
        <v>722.40000000000009</v>
      </c>
    </row>
    <row r="1754" spans="1:4" ht="14.7" hidden="1" thickBot="1" x14ac:dyDescent="0.6">
      <c r="A1754" s="1" t="s">
        <v>9</v>
      </c>
      <c r="B1754" t="str">
        <f>VLOOKUP(A1754,'Area Breakdown'!$B$1:$C$33,2,)</f>
        <v xml:space="preserve">Alexandria </v>
      </c>
      <c r="C1754" s="2">
        <v>44362</v>
      </c>
      <c r="D1754" s="3">
        <v>588</v>
      </c>
    </row>
    <row r="1755" spans="1:4" ht="14.7" hidden="1" thickBot="1" x14ac:dyDescent="0.6">
      <c r="A1755" s="1" t="s">
        <v>8</v>
      </c>
      <c r="B1755" t="str">
        <f>VLOOKUP(A1755,'Area Breakdown'!$B$1:$C$33,2,)</f>
        <v>Heliopolis</v>
      </c>
      <c r="C1755" s="2">
        <v>44362</v>
      </c>
      <c r="D1755" s="3">
        <v>544.80000000000007</v>
      </c>
    </row>
    <row r="1756" spans="1:4" ht="14.7" hidden="1" thickBot="1" x14ac:dyDescent="0.6">
      <c r="A1756" s="1" t="s">
        <v>27</v>
      </c>
      <c r="B1756" t="str">
        <f>VLOOKUP(A1756,'Area Breakdown'!$B$1:$C$33,2,)</f>
        <v xml:space="preserve">Alexandria </v>
      </c>
      <c r="C1756" s="2">
        <v>44362</v>
      </c>
      <c r="D1756" s="3">
        <v>501.20000000000005</v>
      </c>
    </row>
    <row r="1757" spans="1:4" ht="14.7" hidden="1" thickBot="1" x14ac:dyDescent="0.6">
      <c r="A1757" s="1" t="s">
        <v>10</v>
      </c>
      <c r="B1757" t="str">
        <f>VLOOKUP(A1757,'Area Breakdown'!$B$1:$C$33,2,)</f>
        <v xml:space="preserve">Alexandria </v>
      </c>
      <c r="C1757" s="2">
        <v>44362</v>
      </c>
      <c r="D1757" s="3">
        <v>461.6</v>
      </c>
    </row>
    <row r="1758" spans="1:4" ht="14.7" hidden="1" thickBot="1" x14ac:dyDescent="0.6">
      <c r="A1758" s="1" t="s">
        <v>4</v>
      </c>
      <c r="B1758" t="str">
        <f>VLOOKUP(A1758,'Area Breakdown'!$B$1:$C$33,2,)</f>
        <v>Downtown</v>
      </c>
      <c r="C1758" s="2">
        <v>44362</v>
      </c>
      <c r="D1758" s="3">
        <v>447.20000000000005</v>
      </c>
    </row>
    <row r="1759" spans="1:4" ht="14.7" hidden="1" thickBot="1" x14ac:dyDescent="0.6">
      <c r="A1759" s="1" t="s">
        <v>6</v>
      </c>
      <c r="B1759" t="str">
        <f>VLOOKUP(A1759,'Area Breakdown'!$B$1:$C$33,2,)</f>
        <v xml:space="preserve">Alexandria </v>
      </c>
      <c r="C1759" s="2">
        <v>44362</v>
      </c>
      <c r="D1759" s="3">
        <v>424.40000000000003</v>
      </c>
    </row>
    <row r="1760" spans="1:4" ht="14.7" hidden="1" thickBot="1" x14ac:dyDescent="0.6">
      <c r="A1760" s="1" t="s">
        <v>15</v>
      </c>
      <c r="B1760" t="str">
        <f>VLOOKUP(A1760,'Area Breakdown'!$B$1:$C$33,2,)</f>
        <v>Heliopolis</v>
      </c>
      <c r="C1760" s="2">
        <v>44362</v>
      </c>
      <c r="D1760" s="3">
        <v>396</v>
      </c>
    </row>
    <row r="1761" spans="1:4" ht="14.7" hidden="1" thickBot="1" x14ac:dyDescent="0.6">
      <c r="A1761" s="1" t="s">
        <v>17</v>
      </c>
      <c r="B1761" t="str">
        <f>VLOOKUP(A1761,'Area Breakdown'!$B$1:$C$33,2,)</f>
        <v>Heliopolis</v>
      </c>
      <c r="C1761" s="2">
        <v>44362</v>
      </c>
      <c r="D1761" s="3">
        <v>301.2</v>
      </c>
    </row>
    <row r="1762" spans="1:4" ht="14.7" hidden="1" thickBot="1" x14ac:dyDescent="0.6">
      <c r="A1762" s="1" t="s">
        <v>7</v>
      </c>
      <c r="B1762" t="str">
        <f>VLOOKUP(A1762,'Area Breakdown'!$B$1:$C$33,2,)</f>
        <v>October</v>
      </c>
      <c r="C1762" s="2">
        <v>44362</v>
      </c>
      <c r="D1762" s="3">
        <v>244.8</v>
      </c>
    </row>
    <row r="1763" spans="1:4" ht="14.7" hidden="1" thickBot="1" x14ac:dyDescent="0.6">
      <c r="A1763" s="1" t="s">
        <v>23</v>
      </c>
      <c r="B1763" t="str">
        <f>VLOOKUP(A1763,'Area Breakdown'!$B$1:$C$33,2,)</f>
        <v>Heliopolis</v>
      </c>
      <c r="C1763" s="2">
        <v>44362</v>
      </c>
      <c r="D1763" s="3">
        <v>141.6</v>
      </c>
    </row>
    <row r="1764" spans="1:4" ht="14.7" hidden="1" thickBot="1" x14ac:dyDescent="0.6">
      <c r="A1764" s="1" t="s">
        <v>12</v>
      </c>
      <c r="B1764" t="str">
        <f>VLOOKUP(A1764,'Area Breakdown'!$B$1:$C$33,2,)</f>
        <v>New Cairo</v>
      </c>
      <c r="C1764" s="2">
        <v>44362</v>
      </c>
      <c r="D1764" s="3">
        <v>2602.4</v>
      </c>
    </row>
    <row r="1765" spans="1:4" ht="14.7" hidden="1" thickBot="1" x14ac:dyDescent="0.6">
      <c r="A1765" s="1" t="s">
        <v>0</v>
      </c>
      <c r="B1765" t="str">
        <f>VLOOKUP(A1765,'Area Breakdown'!$B$1:$C$33,2,)</f>
        <v>Downtown</v>
      </c>
      <c r="C1765" s="2">
        <v>44362</v>
      </c>
      <c r="D1765" s="3">
        <v>1344.4</v>
      </c>
    </row>
    <row r="1766" spans="1:4" ht="14.7" hidden="1" thickBot="1" x14ac:dyDescent="0.6">
      <c r="A1766" s="1" t="s">
        <v>20</v>
      </c>
      <c r="B1766" t="str">
        <f>VLOOKUP(A1766,'Area Breakdown'!$B$1:$C$33,2,)</f>
        <v>Downtown</v>
      </c>
      <c r="C1766" s="2">
        <v>44362</v>
      </c>
      <c r="D1766" s="3">
        <v>1339.6000000000001</v>
      </c>
    </row>
    <row r="1767" spans="1:4" ht="14.7" hidden="1" thickBot="1" x14ac:dyDescent="0.6">
      <c r="A1767" s="1" t="s">
        <v>1</v>
      </c>
      <c r="B1767" t="str">
        <f>VLOOKUP(A1767,'Area Breakdown'!$B$1:$C$33,2,)</f>
        <v>Downtown</v>
      </c>
      <c r="C1767" s="2">
        <v>44362</v>
      </c>
      <c r="D1767" s="3">
        <v>1302.4000000000001</v>
      </c>
    </row>
    <row r="1768" spans="1:4" ht="14.7" hidden="1" thickBot="1" x14ac:dyDescent="0.6">
      <c r="A1768" s="1" t="s">
        <v>19</v>
      </c>
      <c r="B1768" t="str">
        <f>VLOOKUP(A1768,'Area Breakdown'!$B$1:$C$33,2,)</f>
        <v>Downtown</v>
      </c>
      <c r="C1768" s="2">
        <v>44362</v>
      </c>
      <c r="D1768" s="3">
        <v>1724.4</v>
      </c>
    </row>
    <row r="1769" spans="1:4" ht="14.7" hidden="1" thickBot="1" x14ac:dyDescent="0.6">
      <c r="A1769" s="1" t="s">
        <v>0</v>
      </c>
      <c r="B1769" t="str">
        <f>VLOOKUP(A1769,'Area Breakdown'!$B$1:$C$33,2,)</f>
        <v>Downtown</v>
      </c>
      <c r="C1769" s="2">
        <v>44363</v>
      </c>
      <c r="D1769" s="3">
        <v>1396.8000000000002</v>
      </c>
    </row>
    <row r="1770" spans="1:4" ht="14.7" hidden="1" thickBot="1" x14ac:dyDescent="0.6">
      <c r="A1770" s="1" t="s">
        <v>20</v>
      </c>
      <c r="B1770" t="str">
        <f>VLOOKUP(A1770,'Area Breakdown'!$B$1:$C$33,2,)</f>
        <v>Downtown</v>
      </c>
      <c r="C1770" s="2">
        <v>44363</v>
      </c>
      <c r="D1770" s="3">
        <v>1386</v>
      </c>
    </row>
    <row r="1771" spans="1:4" ht="14.7" hidden="1" thickBot="1" x14ac:dyDescent="0.6">
      <c r="A1771" s="1" t="s">
        <v>1</v>
      </c>
      <c r="B1771" t="str">
        <f>VLOOKUP(A1771,'Area Breakdown'!$B$1:$C$33,2,)</f>
        <v>Downtown</v>
      </c>
      <c r="C1771" s="2">
        <v>44363</v>
      </c>
      <c r="D1771" s="3">
        <v>1257.6000000000001</v>
      </c>
    </row>
    <row r="1772" spans="1:4" ht="14.7" hidden="1" thickBot="1" x14ac:dyDescent="0.6">
      <c r="A1772" s="1" t="s">
        <v>24</v>
      </c>
      <c r="B1772" t="str">
        <f>VLOOKUP(A1772,'Area Breakdown'!$B$1:$C$33,2,)</f>
        <v>October</v>
      </c>
      <c r="C1772" s="2">
        <v>44363</v>
      </c>
      <c r="D1772" s="3">
        <v>1212.4000000000001</v>
      </c>
    </row>
    <row r="1773" spans="1:4" ht="14.7" hidden="1" thickBot="1" x14ac:dyDescent="0.6">
      <c r="A1773" s="1" t="s">
        <v>22</v>
      </c>
      <c r="B1773" t="str">
        <f>VLOOKUP(A1773,'Area Breakdown'!$B$1:$C$33,2,)</f>
        <v>Heliopolis</v>
      </c>
      <c r="C1773" s="2">
        <v>44363</v>
      </c>
      <c r="D1773" s="3">
        <v>1189.2</v>
      </c>
    </row>
    <row r="1774" spans="1:4" ht="14.7" hidden="1" thickBot="1" x14ac:dyDescent="0.6">
      <c r="A1774" s="1" t="s">
        <v>19</v>
      </c>
      <c r="B1774" t="str">
        <f>VLOOKUP(A1774,'Area Breakdown'!$B$1:$C$33,2,)</f>
        <v>Downtown</v>
      </c>
      <c r="C1774" s="2">
        <v>44363</v>
      </c>
      <c r="D1774" s="3">
        <v>1047.2</v>
      </c>
    </row>
    <row r="1775" spans="1:4" ht="14.7" hidden="1" thickBot="1" x14ac:dyDescent="0.6">
      <c r="A1775" s="1" t="s">
        <v>9</v>
      </c>
      <c r="B1775" t="str">
        <f>VLOOKUP(A1775,'Area Breakdown'!$B$1:$C$33,2,)</f>
        <v xml:space="preserve">Alexandria </v>
      </c>
      <c r="C1775" s="2">
        <v>44363</v>
      </c>
      <c r="D1775" s="3">
        <v>1026.8</v>
      </c>
    </row>
    <row r="1776" spans="1:4" ht="14.7" hidden="1" thickBot="1" x14ac:dyDescent="0.6">
      <c r="A1776" s="1" t="s">
        <v>8</v>
      </c>
      <c r="B1776" t="str">
        <f>VLOOKUP(A1776,'Area Breakdown'!$B$1:$C$33,2,)</f>
        <v>Heliopolis</v>
      </c>
      <c r="C1776" s="2">
        <v>44363</v>
      </c>
      <c r="D1776" s="3">
        <v>1005.2</v>
      </c>
    </row>
    <row r="1777" spans="1:4" ht="14.7" hidden="1" thickBot="1" x14ac:dyDescent="0.6">
      <c r="A1777" s="1" t="s">
        <v>2</v>
      </c>
      <c r="B1777" t="str">
        <f>VLOOKUP(A1777,'Area Breakdown'!$B$1:$C$33,2,)</f>
        <v>Downtown</v>
      </c>
      <c r="C1777" s="2">
        <v>44363</v>
      </c>
      <c r="D1777" s="3">
        <v>912</v>
      </c>
    </row>
    <row r="1778" spans="1:4" ht="14.7" hidden="1" thickBot="1" x14ac:dyDescent="0.6">
      <c r="A1778" s="1" t="s">
        <v>11</v>
      </c>
      <c r="B1778" t="str">
        <f>VLOOKUP(A1778,'Area Breakdown'!$B$1:$C$33,2,)</f>
        <v>New Cairo</v>
      </c>
      <c r="C1778" s="2">
        <v>44363</v>
      </c>
      <c r="D1778" s="3">
        <v>832.80000000000007</v>
      </c>
    </row>
    <row r="1779" spans="1:4" ht="14.7" hidden="1" thickBot="1" x14ac:dyDescent="0.6">
      <c r="A1779" s="1" t="s">
        <v>3</v>
      </c>
      <c r="B1779" t="str">
        <f>VLOOKUP(A1779,'Area Breakdown'!$B$1:$C$33,2,)</f>
        <v>Downtown</v>
      </c>
      <c r="C1779" s="2">
        <v>44363</v>
      </c>
      <c r="D1779" s="3">
        <v>780</v>
      </c>
    </row>
    <row r="1780" spans="1:4" ht="14.7" hidden="1" thickBot="1" x14ac:dyDescent="0.6">
      <c r="A1780" s="1" t="s">
        <v>13</v>
      </c>
      <c r="B1780" t="str">
        <f>VLOOKUP(A1780,'Area Breakdown'!$B$1:$C$33,2,)</f>
        <v>Heliopolis</v>
      </c>
      <c r="C1780" s="2">
        <v>44363</v>
      </c>
      <c r="D1780" s="3">
        <v>664.80000000000007</v>
      </c>
    </row>
    <row r="1781" spans="1:4" ht="14.7" hidden="1" thickBot="1" x14ac:dyDescent="0.6">
      <c r="A1781" s="1" t="s">
        <v>27</v>
      </c>
      <c r="B1781" t="str">
        <f>VLOOKUP(A1781,'Area Breakdown'!$B$1:$C$33,2,)</f>
        <v xml:space="preserve">Alexandria </v>
      </c>
      <c r="C1781" s="2">
        <v>44363</v>
      </c>
      <c r="D1781" s="3">
        <v>640.80000000000007</v>
      </c>
    </row>
    <row r="1782" spans="1:4" ht="14.7" hidden="1" thickBot="1" x14ac:dyDescent="0.6">
      <c r="A1782" s="1" t="s">
        <v>16</v>
      </c>
      <c r="B1782" t="str">
        <f>VLOOKUP(A1782,'Area Breakdown'!$B$1:$C$33,2,)</f>
        <v>Downtown</v>
      </c>
      <c r="C1782" s="2">
        <v>44363</v>
      </c>
      <c r="D1782" s="3">
        <v>632.40000000000009</v>
      </c>
    </row>
    <row r="1783" spans="1:4" ht="14.7" hidden="1" thickBot="1" x14ac:dyDescent="0.6">
      <c r="A1783" s="1" t="s">
        <v>10</v>
      </c>
      <c r="B1783" t="str">
        <f>VLOOKUP(A1783,'Area Breakdown'!$B$1:$C$33,2,)</f>
        <v xml:space="preserve">Alexandria </v>
      </c>
      <c r="C1783" s="2">
        <v>44363</v>
      </c>
      <c r="D1783" s="3">
        <v>605.6</v>
      </c>
    </row>
    <row r="1784" spans="1:4" ht="14.7" hidden="1" thickBot="1" x14ac:dyDescent="0.6">
      <c r="A1784" s="1" t="s">
        <v>17</v>
      </c>
      <c r="B1784" t="str">
        <f>VLOOKUP(A1784,'Area Breakdown'!$B$1:$C$33,2,)</f>
        <v>Heliopolis</v>
      </c>
      <c r="C1784" s="2">
        <v>44363</v>
      </c>
      <c r="D1784" s="3">
        <v>584.80000000000007</v>
      </c>
    </row>
    <row r="1785" spans="1:4" ht="14.7" hidden="1" thickBot="1" x14ac:dyDescent="0.6">
      <c r="A1785" s="1" t="s">
        <v>21</v>
      </c>
      <c r="B1785" t="str">
        <f>VLOOKUP(A1785,'Area Breakdown'!$B$1:$C$33,2,)</f>
        <v>Heliopolis</v>
      </c>
      <c r="C1785" s="2">
        <v>44363</v>
      </c>
      <c r="D1785" s="3">
        <v>506.40000000000003</v>
      </c>
    </row>
    <row r="1786" spans="1:4" ht="14.7" hidden="1" thickBot="1" x14ac:dyDescent="0.6">
      <c r="A1786" s="1" t="s">
        <v>15</v>
      </c>
      <c r="B1786" t="str">
        <f>VLOOKUP(A1786,'Area Breakdown'!$B$1:$C$33,2,)</f>
        <v>Heliopolis</v>
      </c>
      <c r="C1786" s="2">
        <v>44363</v>
      </c>
      <c r="D1786" s="3">
        <v>408</v>
      </c>
    </row>
    <row r="1787" spans="1:4" ht="14.7" hidden="1" thickBot="1" x14ac:dyDescent="0.6">
      <c r="A1787" s="1" t="s">
        <v>6</v>
      </c>
      <c r="B1787" t="str">
        <f>VLOOKUP(A1787,'Area Breakdown'!$B$1:$C$33,2,)</f>
        <v xml:space="preserve">Alexandria </v>
      </c>
      <c r="C1787" s="2">
        <v>44363</v>
      </c>
      <c r="D1787" s="3">
        <v>268</v>
      </c>
    </row>
    <row r="1788" spans="1:4" ht="14.7" hidden="1" thickBot="1" x14ac:dyDescent="0.6">
      <c r="A1788" s="1" t="s">
        <v>23</v>
      </c>
      <c r="B1788" t="str">
        <f>VLOOKUP(A1788,'Area Breakdown'!$B$1:$C$33,2,)</f>
        <v>Heliopolis</v>
      </c>
      <c r="C1788" s="2">
        <v>44363</v>
      </c>
      <c r="D1788" s="3">
        <v>258.8</v>
      </c>
    </row>
    <row r="1789" spans="1:4" ht="14.7" hidden="1" thickBot="1" x14ac:dyDescent="0.6">
      <c r="A1789" s="1" t="s">
        <v>7</v>
      </c>
      <c r="B1789" t="str">
        <f>VLOOKUP(A1789,'Area Breakdown'!$B$1:$C$33,2,)</f>
        <v>October</v>
      </c>
      <c r="C1789" s="2">
        <v>44363</v>
      </c>
      <c r="D1789" s="3">
        <v>228.4</v>
      </c>
    </row>
    <row r="1790" spans="1:4" ht="14.7" hidden="1" thickBot="1" x14ac:dyDescent="0.6">
      <c r="A1790" s="1" t="s">
        <v>4</v>
      </c>
      <c r="B1790" t="str">
        <f>VLOOKUP(A1790,'Area Breakdown'!$B$1:$C$33,2,)</f>
        <v>Downtown</v>
      </c>
      <c r="C1790" s="2">
        <v>44363</v>
      </c>
      <c r="D1790" s="3">
        <v>154</v>
      </c>
    </row>
    <row r="1791" spans="1:4" ht="14.7" hidden="1" thickBot="1" x14ac:dyDescent="0.6">
      <c r="A1791" s="1" t="s">
        <v>12</v>
      </c>
      <c r="B1791" t="str">
        <f>VLOOKUP(A1791,'Area Breakdown'!$B$1:$C$33,2,)</f>
        <v>New Cairo</v>
      </c>
      <c r="C1791" s="2">
        <v>44363</v>
      </c>
      <c r="D1791" s="3">
        <v>2490.8000000000002</v>
      </c>
    </row>
    <row r="1792" spans="1:4" ht="14.7" hidden="1" thickBot="1" x14ac:dyDescent="0.6">
      <c r="A1792" s="1" t="s">
        <v>25</v>
      </c>
      <c r="B1792" t="str">
        <f>VLOOKUP(A1792,'Area Breakdown'!$B$1:$C$33,2,)</f>
        <v>October</v>
      </c>
      <c r="C1792" s="2">
        <v>44363</v>
      </c>
      <c r="D1792" s="3">
        <v>1290.8000000000002</v>
      </c>
    </row>
    <row r="1793" spans="1:4" ht="14.7" hidden="1" thickBot="1" x14ac:dyDescent="0.6">
      <c r="A1793" s="1" t="s">
        <v>11</v>
      </c>
      <c r="B1793" t="str">
        <f>VLOOKUP(A1793,'Area Breakdown'!$B$1:$C$33,2,)</f>
        <v>New Cairo</v>
      </c>
      <c r="C1793" s="2">
        <v>44364</v>
      </c>
      <c r="D1793" s="3">
        <v>1471.2</v>
      </c>
    </row>
    <row r="1794" spans="1:4" ht="14.7" hidden="1" thickBot="1" x14ac:dyDescent="0.6">
      <c r="A1794" s="1" t="s">
        <v>21</v>
      </c>
      <c r="B1794" t="str">
        <f>VLOOKUP(A1794,'Area Breakdown'!$B$1:$C$33,2,)</f>
        <v>Heliopolis</v>
      </c>
      <c r="C1794" s="2">
        <v>44364</v>
      </c>
      <c r="D1794" s="3">
        <v>1455.6000000000001</v>
      </c>
    </row>
    <row r="1795" spans="1:4" ht="14.7" hidden="1" thickBot="1" x14ac:dyDescent="0.6">
      <c r="A1795" s="1" t="s">
        <v>27</v>
      </c>
      <c r="B1795" t="str">
        <f>VLOOKUP(A1795,'Area Breakdown'!$B$1:$C$33,2,)</f>
        <v xml:space="preserve">Alexandria </v>
      </c>
      <c r="C1795" s="2">
        <v>44364</v>
      </c>
      <c r="D1795" s="3">
        <v>1044.8</v>
      </c>
    </row>
    <row r="1796" spans="1:4" ht="14.7" hidden="1" thickBot="1" x14ac:dyDescent="0.6">
      <c r="A1796" s="1" t="s">
        <v>1</v>
      </c>
      <c r="B1796" t="str">
        <f>VLOOKUP(A1796,'Area Breakdown'!$B$1:$C$33,2,)</f>
        <v>Downtown</v>
      </c>
      <c r="C1796" s="2">
        <v>44364</v>
      </c>
      <c r="D1796" s="3">
        <v>956.80000000000007</v>
      </c>
    </row>
    <row r="1797" spans="1:4" ht="14.7" hidden="1" thickBot="1" x14ac:dyDescent="0.6">
      <c r="A1797" s="1" t="s">
        <v>25</v>
      </c>
      <c r="B1797" t="str">
        <f>VLOOKUP(A1797,'Area Breakdown'!$B$1:$C$33,2,)</f>
        <v>October</v>
      </c>
      <c r="C1797" s="2">
        <v>44364</v>
      </c>
      <c r="D1797" s="3">
        <v>917.6</v>
      </c>
    </row>
    <row r="1798" spans="1:4" ht="14.7" hidden="1" thickBot="1" x14ac:dyDescent="0.6">
      <c r="A1798" s="1" t="s">
        <v>2</v>
      </c>
      <c r="B1798" t="str">
        <f>VLOOKUP(A1798,'Area Breakdown'!$B$1:$C$33,2,)</f>
        <v>Downtown</v>
      </c>
      <c r="C1798" s="2">
        <v>44364</v>
      </c>
      <c r="D1798" s="3">
        <v>752</v>
      </c>
    </row>
    <row r="1799" spans="1:4" ht="14.7" hidden="1" thickBot="1" x14ac:dyDescent="0.6">
      <c r="A1799" s="1" t="s">
        <v>8</v>
      </c>
      <c r="B1799" t="str">
        <f>VLOOKUP(A1799,'Area Breakdown'!$B$1:$C$33,2,)</f>
        <v>Heliopolis</v>
      </c>
      <c r="C1799" s="2">
        <v>44364</v>
      </c>
      <c r="D1799" s="3">
        <v>733.2</v>
      </c>
    </row>
    <row r="1800" spans="1:4" ht="14.7" hidden="1" thickBot="1" x14ac:dyDescent="0.6">
      <c r="A1800" s="1" t="s">
        <v>3</v>
      </c>
      <c r="B1800" t="str">
        <f>VLOOKUP(A1800,'Area Breakdown'!$B$1:$C$33,2,)</f>
        <v>Downtown</v>
      </c>
      <c r="C1800" s="2">
        <v>44364</v>
      </c>
      <c r="D1800" s="3">
        <v>709.2</v>
      </c>
    </row>
    <row r="1801" spans="1:4" ht="14.7" hidden="1" thickBot="1" x14ac:dyDescent="0.6">
      <c r="A1801" s="1" t="s">
        <v>23</v>
      </c>
      <c r="B1801" t="str">
        <f>VLOOKUP(A1801,'Area Breakdown'!$B$1:$C$33,2,)</f>
        <v>Heliopolis</v>
      </c>
      <c r="C1801" s="2">
        <v>44364</v>
      </c>
      <c r="D1801" s="3">
        <v>701.6</v>
      </c>
    </row>
    <row r="1802" spans="1:4" ht="14.7" hidden="1" thickBot="1" x14ac:dyDescent="0.6">
      <c r="A1802" s="1" t="s">
        <v>13</v>
      </c>
      <c r="B1802" t="str">
        <f>VLOOKUP(A1802,'Area Breakdown'!$B$1:$C$33,2,)</f>
        <v>Heliopolis</v>
      </c>
      <c r="C1802" s="2">
        <v>44364</v>
      </c>
      <c r="D1802" s="3">
        <v>701.2</v>
      </c>
    </row>
    <row r="1803" spans="1:4" ht="14.7" hidden="1" thickBot="1" x14ac:dyDescent="0.6">
      <c r="A1803" s="1" t="s">
        <v>6</v>
      </c>
      <c r="B1803" t="str">
        <f>VLOOKUP(A1803,'Area Breakdown'!$B$1:$C$33,2,)</f>
        <v xml:space="preserve">Alexandria </v>
      </c>
      <c r="C1803" s="2">
        <v>44364</v>
      </c>
      <c r="D1803" s="3">
        <v>594</v>
      </c>
    </row>
    <row r="1804" spans="1:4" ht="14.7" hidden="1" thickBot="1" x14ac:dyDescent="0.6">
      <c r="A1804" s="1" t="s">
        <v>9</v>
      </c>
      <c r="B1804" t="str">
        <f>VLOOKUP(A1804,'Area Breakdown'!$B$1:$C$33,2,)</f>
        <v xml:space="preserve">Alexandria </v>
      </c>
      <c r="C1804" s="2">
        <v>44364</v>
      </c>
      <c r="D1804" s="3">
        <v>557.20000000000005</v>
      </c>
    </row>
    <row r="1805" spans="1:4" ht="14.7" hidden="1" thickBot="1" x14ac:dyDescent="0.6">
      <c r="A1805" s="1" t="s">
        <v>17</v>
      </c>
      <c r="B1805" t="str">
        <f>VLOOKUP(A1805,'Area Breakdown'!$B$1:$C$33,2,)</f>
        <v>Heliopolis</v>
      </c>
      <c r="C1805" s="2">
        <v>44364</v>
      </c>
      <c r="D1805" s="3">
        <v>503.6</v>
      </c>
    </row>
    <row r="1806" spans="1:4" ht="14.7" hidden="1" thickBot="1" x14ac:dyDescent="0.6">
      <c r="A1806" s="1" t="s">
        <v>10</v>
      </c>
      <c r="B1806" t="str">
        <f>VLOOKUP(A1806,'Area Breakdown'!$B$1:$C$33,2,)</f>
        <v xml:space="preserve">Alexandria </v>
      </c>
      <c r="C1806" s="2">
        <v>44364</v>
      </c>
      <c r="D1806" s="3">
        <v>480.8</v>
      </c>
    </row>
    <row r="1807" spans="1:4" ht="14.7" hidden="1" thickBot="1" x14ac:dyDescent="0.6">
      <c r="A1807" s="1" t="s">
        <v>15</v>
      </c>
      <c r="B1807" t="str">
        <f>VLOOKUP(A1807,'Area Breakdown'!$B$1:$C$33,2,)</f>
        <v>Heliopolis</v>
      </c>
      <c r="C1807" s="2">
        <v>44364</v>
      </c>
      <c r="D1807" s="3">
        <v>390.8</v>
      </c>
    </row>
    <row r="1808" spans="1:4" ht="14.7" hidden="1" thickBot="1" x14ac:dyDescent="0.6">
      <c r="A1808" s="1" t="s">
        <v>16</v>
      </c>
      <c r="B1808" t="str">
        <f>VLOOKUP(A1808,'Area Breakdown'!$B$1:$C$33,2,)</f>
        <v>Downtown</v>
      </c>
      <c r="C1808" s="2">
        <v>44364</v>
      </c>
      <c r="D1808" s="3">
        <v>314.40000000000003</v>
      </c>
    </row>
    <row r="1809" spans="1:4" ht="14.7" hidden="1" thickBot="1" x14ac:dyDescent="0.6">
      <c r="A1809" s="1" t="s">
        <v>4</v>
      </c>
      <c r="B1809" t="str">
        <f>VLOOKUP(A1809,'Area Breakdown'!$B$1:$C$33,2,)</f>
        <v>Downtown</v>
      </c>
      <c r="C1809" s="2">
        <v>44364</v>
      </c>
      <c r="D1809" s="3">
        <v>222</v>
      </c>
    </row>
    <row r="1810" spans="1:4" ht="14.7" hidden="1" thickBot="1" x14ac:dyDescent="0.6">
      <c r="A1810" s="1" t="s">
        <v>7</v>
      </c>
      <c r="B1810" t="str">
        <f>VLOOKUP(A1810,'Area Breakdown'!$B$1:$C$33,2,)</f>
        <v>October</v>
      </c>
      <c r="C1810" s="2">
        <v>44364</v>
      </c>
      <c r="D1810" s="3">
        <v>208.4</v>
      </c>
    </row>
    <row r="1811" spans="1:4" ht="14.7" hidden="1" thickBot="1" x14ac:dyDescent="0.6">
      <c r="A1811" s="1" t="s">
        <v>0</v>
      </c>
      <c r="B1811" t="str">
        <f>VLOOKUP(A1811,'Area Breakdown'!$B$1:$C$33,2,)</f>
        <v>Downtown</v>
      </c>
      <c r="C1811" s="2">
        <v>44364</v>
      </c>
      <c r="D1811" s="3">
        <v>2191.2000000000003</v>
      </c>
    </row>
    <row r="1812" spans="1:4" ht="14.7" hidden="1" thickBot="1" x14ac:dyDescent="0.6">
      <c r="A1812" s="1" t="s">
        <v>12</v>
      </c>
      <c r="B1812" t="str">
        <f>VLOOKUP(A1812,'Area Breakdown'!$B$1:$C$33,2,)</f>
        <v>New Cairo</v>
      </c>
      <c r="C1812" s="2">
        <v>44364</v>
      </c>
      <c r="D1812" s="3">
        <v>2171.2000000000003</v>
      </c>
    </row>
    <row r="1813" spans="1:4" ht="14.7" hidden="1" thickBot="1" x14ac:dyDescent="0.6">
      <c r="A1813" s="1" t="s">
        <v>22</v>
      </c>
      <c r="B1813" t="str">
        <f>VLOOKUP(A1813,'Area Breakdown'!$B$1:$C$33,2,)</f>
        <v>Heliopolis</v>
      </c>
      <c r="C1813" s="2">
        <v>44364</v>
      </c>
      <c r="D1813" s="3">
        <v>1300.8000000000002</v>
      </c>
    </row>
    <row r="1814" spans="1:4" ht="14.7" hidden="1" thickBot="1" x14ac:dyDescent="0.6">
      <c r="A1814" s="1" t="s">
        <v>20</v>
      </c>
      <c r="B1814" t="str">
        <f>VLOOKUP(A1814,'Area Breakdown'!$B$1:$C$33,2,)</f>
        <v>Downtown</v>
      </c>
      <c r="C1814" s="2">
        <v>44364</v>
      </c>
      <c r="D1814" s="3">
        <v>1764</v>
      </c>
    </row>
    <row r="1815" spans="1:4" ht="14.7" hidden="1" thickBot="1" x14ac:dyDescent="0.6">
      <c r="A1815" s="1" t="s">
        <v>19</v>
      </c>
      <c r="B1815" t="str">
        <f>VLOOKUP(A1815,'Area Breakdown'!$B$1:$C$33,2,)</f>
        <v>Downtown</v>
      </c>
      <c r="C1815" s="2">
        <v>44364</v>
      </c>
      <c r="D1815" s="3">
        <v>1646</v>
      </c>
    </row>
    <row r="1816" spans="1:4" ht="14.7" hidden="1" thickBot="1" x14ac:dyDescent="0.6">
      <c r="A1816" s="1" t="s">
        <v>12</v>
      </c>
      <c r="B1816" t="str">
        <f>VLOOKUP(A1816,'Area Breakdown'!$B$1:$C$33,2,)</f>
        <v>New Cairo</v>
      </c>
      <c r="C1816" s="2">
        <v>44365</v>
      </c>
      <c r="D1816" s="3">
        <v>1231.2</v>
      </c>
    </row>
    <row r="1817" spans="1:4" ht="14.7" hidden="1" thickBot="1" x14ac:dyDescent="0.6">
      <c r="A1817" s="1" t="s">
        <v>22</v>
      </c>
      <c r="B1817" t="str">
        <f>VLOOKUP(A1817,'Area Breakdown'!$B$1:$C$33,2,)</f>
        <v>Heliopolis</v>
      </c>
      <c r="C1817" s="2">
        <v>44365</v>
      </c>
      <c r="D1817" s="3">
        <v>1069.6000000000001</v>
      </c>
    </row>
    <row r="1818" spans="1:4" ht="14.7" hidden="1" thickBot="1" x14ac:dyDescent="0.6">
      <c r="A1818" s="1" t="s">
        <v>16</v>
      </c>
      <c r="B1818" t="str">
        <f>VLOOKUP(A1818,'Area Breakdown'!$B$1:$C$33,2,)</f>
        <v>Downtown</v>
      </c>
      <c r="C1818" s="2">
        <v>44365</v>
      </c>
      <c r="D1818" s="3">
        <v>1067.6000000000001</v>
      </c>
    </row>
    <row r="1819" spans="1:4" ht="14.7" hidden="1" thickBot="1" x14ac:dyDescent="0.6">
      <c r="A1819" s="1" t="s">
        <v>0</v>
      </c>
      <c r="B1819" t="str">
        <f>VLOOKUP(A1819,'Area Breakdown'!$B$1:$C$33,2,)</f>
        <v>Downtown</v>
      </c>
      <c r="C1819" s="2">
        <v>44365</v>
      </c>
      <c r="D1819" s="3">
        <v>885.6</v>
      </c>
    </row>
    <row r="1820" spans="1:4" ht="14.7" hidden="1" thickBot="1" x14ac:dyDescent="0.6">
      <c r="A1820" s="1" t="s">
        <v>19</v>
      </c>
      <c r="B1820" t="str">
        <f>VLOOKUP(A1820,'Area Breakdown'!$B$1:$C$33,2,)</f>
        <v>Downtown</v>
      </c>
      <c r="C1820" s="2">
        <v>44365</v>
      </c>
      <c r="D1820" s="3">
        <v>870.40000000000009</v>
      </c>
    </row>
    <row r="1821" spans="1:4" ht="14.7" hidden="1" thickBot="1" x14ac:dyDescent="0.6">
      <c r="A1821" s="1" t="s">
        <v>9</v>
      </c>
      <c r="B1821" t="str">
        <f>VLOOKUP(A1821,'Area Breakdown'!$B$1:$C$33,2,)</f>
        <v xml:space="preserve">Alexandria </v>
      </c>
      <c r="C1821" s="2">
        <v>44365</v>
      </c>
      <c r="D1821" s="3">
        <v>817.6</v>
      </c>
    </row>
    <row r="1822" spans="1:4" ht="14.7" hidden="1" thickBot="1" x14ac:dyDescent="0.6">
      <c r="A1822" s="1" t="s">
        <v>21</v>
      </c>
      <c r="B1822" t="str">
        <f>VLOOKUP(A1822,'Area Breakdown'!$B$1:$C$33,2,)</f>
        <v>Heliopolis</v>
      </c>
      <c r="C1822" s="2">
        <v>44365</v>
      </c>
      <c r="D1822" s="3">
        <v>783.6</v>
      </c>
    </row>
    <row r="1823" spans="1:4" ht="14.7" hidden="1" thickBot="1" x14ac:dyDescent="0.6">
      <c r="A1823" s="1" t="s">
        <v>27</v>
      </c>
      <c r="B1823" t="str">
        <f>VLOOKUP(A1823,'Area Breakdown'!$B$1:$C$33,2,)</f>
        <v xml:space="preserve">Alexandria </v>
      </c>
      <c r="C1823" s="2">
        <v>44365</v>
      </c>
      <c r="D1823" s="3">
        <v>781.6</v>
      </c>
    </row>
    <row r="1824" spans="1:4" ht="14.7" hidden="1" thickBot="1" x14ac:dyDescent="0.6">
      <c r="A1824" s="1" t="s">
        <v>1</v>
      </c>
      <c r="B1824" t="str">
        <f>VLOOKUP(A1824,'Area Breakdown'!$B$1:$C$33,2,)</f>
        <v>Downtown</v>
      </c>
      <c r="C1824" s="2">
        <v>44365</v>
      </c>
      <c r="D1824" s="3">
        <v>629.6</v>
      </c>
    </row>
    <row r="1825" spans="1:4" ht="14.7" hidden="1" thickBot="1" x14ac:dyDescent="0.6">
      <c r="A1825" s="1" t="s">
        <v>25</v>
      </c>
      <c r="B1825" t="str">
        <f>VLOOKUP(A1825,'Area Breakdown'!$B$1:$C$33,2,)</f>
        <v>October</v>
      </c>
      <c r="C1825" s="2">
        <v>44365</v>
      </c>
      <c r="D1825" s="3">
        <v>620.40000000000009</v>
      </c>
    </row>
    <row r="1826" spans="1:4" ht="14.7" hidden="1" thickBot="1" x14ac:dyDescent="0.6">
      <c r="A1826" s="1" t="s">
        <v>15</v>
      </c>
      <c r="B1826" t="str">
        <f>VLOOKUP(A1826,'Area Breakdown'!$B$1:$C$33,2,)</f>
        <v>Heliopolis</v>
      </c>
      <c r="C1826" s="2">
        <v>44365</v>
      </c>
      <c r="D1826" s="3">
        <v>617.20000000000005</v>
      </c>
    </row>
    <row r="1827" spans="1:4" ht="14.7" hidden="1" thickBot="1" x14ac:dyDescent="0.6">
      <c r="A1827" s="1" t="s">
        <v>3</v>
      </c>
      <c r="B1827" t="str">
        <f>VLOOKUP(A1827,'Area Breakdown'!$B$1:$C$33,2,)</f>
        <v>Downtown</v>
      </c>
      <c r="C1827" s="2">
        <v>44365</v>
      </c>
      <c r="D1827" s="3">
        <v>575.20000000000005</v>
      </c>
    </row>
    <row r="1828" spans="1:4" ht="14.7" hidden="1" thickBot="1" x14ac:dyDescent="0.6">
      <c r="A1828" s="1" t="s">
        <v>20</v>
      </c>
      <c r="B1828" t="str">
        <f>VLOOKUP(A1828,'Area Breakdown'!$B$1:$C$33,2,)</f>
        <v>Downtown</v>
      </c>
      <c r="C1828" s="2">
        <v>44365</v>
      </c>
      <c r="D1828" s="3">
        <v>572</v>
      </c>
    </row>
    <row r="1829" spans="1:4" ht="14.7" hidden="1" thickBot="1" x14ac:dyDescent="0.6">
      <c r="A1829" s="1" t="s">
        <v>6</v>
      </c>
      <c r="B1829" t="str">
        <f>VLOOKUP(A1829,'Area Breakdown'!$B$1:$C$33,2,)</f>
        <v xml:space="preserve">Alexandria </v>
      </c>
      <c r="C1829" s="2">
        <v>44365</v>
      </c>
      <c r="D1829" s="3">
        <v>556.4</v>
      </c>
    </row>
    <row r="1830" spans="1:4" ht="14.7" hidden="1" thickBot="1" x14ac:dyDescent="0.6">
      <c r="A1830" s="1" t="s">
        <v>2</v>
      </c>
      <c r="B1830" t="str">
        <f>VLOOKUP(A1830,'Area Breakdown'!$B$1:$C$33,2,)</f>
        <v>Downtown</v>
      </c>
      <c r="C1830" s="2">
        <v>44365</v>
      </c>
      <c r="D1830" s="3">
        <v>521.6</v>
      </c>
    </row>
    <row r="1831" spans="1:4" ht="14.7" hidden="1" thickBot="1" x14ac:dyDescent="0.6">
      <c r="A1831" s="1" t="s">
        <v>10</v>
      </c>
      <c r="B1831" t="str">
        <f>VLOOKUP(A1831,'Area Breakdown'!$B$1:$C$33,2,)</f>
        <v xml:space="preserve">Alexandria </v>
      </c>
      <c r="C1831" s="2">
        <v>44365</v>
      </c>
      <c r="D1831" s="3">
        <v>458.8</v>
      </c>
    </row>
    <row r="1832" spans="1:4" ht="14.7" hidden="1" thickBot="1" x14ac:dyDescent="0.6">
      <c r="A1832" s="1" t="s">
        <v>11</v>
      </c>
      <c r="B1832" t="str">
        <f>VLOOKUP(A1832,'Area Breakdown'!$B$1:$C$33,2,)</f>
        <v>New Cairo</v>
      </c>
      <c r="C1832" s="2">
        <v>44365</v>
      </c>
      <c r="D1832" s="3">
        <v>435.20000000000005</v>
      </c>
    </row>
    <row r="1833" spans="1:4" ht="14.7" hidden="1" thickBot="1" x14ac:dyDescent="0.6">
      <c r="A1833" s="1" t="s">
        <v>13</v>
      </c>
      <c r="B1833" t="str">
        <f>VLOOKUP(A1833,'Area Breakdown'!$B$1:$C$33,2,)</f>
        <v>Heliopolis</v>
      </c>
      <c r="C1833" s="2">
        <v>44365</v>
      </c>
      <c r="D1833" s="3">
        <v>394</v>
      </c>
    </row>
    <row r="1834" spans="1:4" ht="14.7" hidden="1" thickBot="1" x14ac:dyDescent="0.6">
      <c r="A1834" s="1" t="s">
        <v>8</v>
      </c>
      <c r="B1834" t="str">
        <f>VLOOKUP(A1834,'Area Breakdown'!$B$1:$C$33,2,)</f>
        <v>Heliopolis</v>
      </c>
      <c r="C1834" s="2">
        <v>44365</v>
      </c>
      <c r="D1834" s="3">
        <v>368.8</v>
      </c>
    </row>
    <row r="1835" spans="1:4" ht="14.7" hidden="1" thickBot="1" x14ac:dyDescent="0.6">
      <c r="A1835" s="1" t="s">
        <v>17</v>
      </c>
      <c r="B1835" t="str">
        <f>VLOOKUP(A1835,'Area Breakdown'!$B$1:$C$33,2,)</f>
        <v>Heliopolis</v>
      </c>
      <c r="C1835" s="2">
        <v>44365</v>
      </c>
      <c r="D1835" s="3">
        <v>251.20000000000002</v>
      </c>
    </row>
    <row r="1836" spans="1:4" ht="14.7" hidden="1" thickBot="1" x14ac:dyDescent="0.6">
      <c r="A1836" s="1" t="s">
        <v>4</v>
      </c>
      <c r="B1836" t="str">
        <f>VLOOKUP(A1836,'Area Breakdown'!$B$1:$C$33,2,)</f>
        <v>Downtown</v>
      </c>
      <c r="C1836" s="2">
        <v>44365</v>
      </c>
      <c r="D1836" s="3">
        <v>229.20000000000002</v>
      </c>
    </row>
    <row r="1837" spans="1:4" ht="14.7" hidden="1" thickBot="1" x14ac:dyDescent="0.6">
      <c r="A1837" s="1" t="s">
        <v>23</v>
      </c>
      <c r="B1837" t="str">
        <f>VLOOKUP(A1837,'Area Breakdown'!$B$1:$C$33,2,)</f>
        <v>Heliopolis</v>
      </c>
      <c r="C1837" s="2">
        <v>44365</v>
      </c>
      <c r="D1837" s="3">
        <v>205.60000000000002</v>
      </c>
    </row>
    <row r="1838" spans="1:4" ht="14.7" hidden="1" thickBot="1" x14ac:dyDescent="0.6">
      <c r="A1838" s="1" t="s">
        <v>7</v>
      </c>
      <c r="B1838" t="str">
        <f>VLOOKUP(A1838,'Area Breakdown'!$B$1:$C$33,2,)</f>
        <v>October</v>
      </c>
      <c r="C1838" s="2">
        <v>44365</v>
      </c>
      <c r="D1838" s="3">
        <v>192.8</v>
      </c>
    </row>
    <row r="1839" spans="1:4" ht="14.7" hidden="1" thickBot="1" x14ac:dyDescent="0.6">
      <c r="A1839" s="1" t="s">
        <v>0</v>
      </c>
      <c r="B1839" t="str">
        <f>VLOOKUP(A1839,'Area Breakdown'!$B$1:$C$33,2,)</f>
        <v>Downtown</v>
      </c>
      <c r="C1839" s="2">
        <v>44366</v>
      </c>
      <c r="D1839" s="3">
        <v>1452</v>
      </c>
    </row>
    <row r="1840" spans="1:4" ht="14.7" hidden="1" thickBot="1" x14ac:dyDescent="0.6">
      <c r="A1840" s="1" t="s">
        <v>12</v>
      </c>
      <c r="B1840" t="str">
        <f>VLOOKUP(A1840,'Area Breakdown'!$B$1:$C$33,2,)</f>
        <v>New Cairo</v>
      </c>
      <c r="C1840" s="2">
        <v>44366</v>
      </c>
      <c r="D1840" s="3">
        <v>1140.8</v>
      </c>
    </row>
    <row r="1841" spans="1:4" ht="14.7" hidden="1" thickBot="1" x14ac:dyDescent="0.6">
      <c r="A1841" s="1" t="s">
        <v>22</v>
      </c>
      <c r="B1841" t="str">
        <f>VLOOKUP(A1841,'Area Breakdown'!$B$1:$C$33,2,)</f>
        <v>Heliopolis</v>
      </c>
      <c r="C1841" s="2">
        <v>44366</v>
      </c>
      <c r="D1841" s="3">
        <v>1053.6000000000001</v>
      </c>
    </row>
    <row r="1842" spans="1:4" ht="14.7" hidden="1" thickBot="1" x14ac:dyDescent="0.6">
      <c r="A1842" s="1" t="s">
        <v>10</v>
      </c>
      <c r="B1842" t="str">
        <f>VLOOKUP(A1842,'Area Breakdown'!$B$1:$C$33,2,)</f>
        <v xml:space="preserve">Alexandria </v>
      </c>
      <c r="C1842" s="2">
        <v>44366</v>
      </c>
      <c r="D1842" s="3">
        <v>1023.2</v>
      </c>
    </row>
    <row r="1843" spans="1:4" ht="14.7" hidden="1" thickBot="1" x14ac:dyDescent="0.6">
      <c r="A1843" s="1" t="s">
        <v>20</v>
      </c>
      <c r="B1843" t="str">
        <f>VLOOKUP(A1843,'Area Breakdown'!$B$1:$C$33,2,)</f>
        <v>Downtown</v>
      </c>
      <c r="C1843" s="2">
        <v>44366</v>
      </c>
      <c r="D1843" s="3">
        <v>831.6</v>
      </c>
    </row>
    <row r="1844" spans="1:4" ht="14.7" hidden="1" thickBot="1" x14ac:dyDescent="0.6">
      <c r="A1844" s="1" t="s">
        <v>19</v>
      </c>
      <c r="B1844" t="str">
        <f>VLOOKUP(A1844,'Area Breakdown'!$B$1:$C$33,2,)</f>
        <v>Downtown</v>
      </c>
      <c r="C1844" s="2">
        <v>44366</v>
      </c>
      <c r="D1844" s="3">
        <v>801.6</v>
      </c>
    </row>
    <row r="1845" spans="1:4" ht="14.7" hidden="1" thickBot="1" x14ac:dyDescent="0.6">
      <c r="A1845" s="1" t="s">
        <v>21</v>
      </c>
      <c r="B1845" t="str">
        <f>VLOOKUP(A1845,'Area Breakdown'!$B$1:$C$33,2,)</f>
        <v>Heliopolis</v>
      </c>
      <c r="C1845" s="2">
        <v>44366</v>
      </c>
      <c r="D1845" s="3">
        <v>795.6</v>
      </c>
    </row>
    <row r="1846" spans="1:4" ht="14.7" hidden="1" thickBot="1" x14ac:dyDescent="0.6">
      <c r="A1846" s="1" t="s">
        <v>16</v>
      </c>
      <c r="B1846" t="str">
        <f>VLOOKUP(A1846,'Area Breakdown'!$B$1:$C$33,2,)</f>
        <v>Downtown</v>
      </c>
      <c r="C1846" s="2">
        <v>44366</v>
      </c>
      <c r="D1846" s="3">
        <v>788</v>
      </c>
    </row>
    <row r="1847" spans="1:4" ht="14.7" hidden="1" thickBot="1" x14ac:dyDescent="0.6">
      <c r="A1847" s="1" t="s">
        <v>3</v>
      </c>
      <c r="B1847" t="str">
        <f>VLOOKUP(A1847,'Area Breakdown'!$B$1:$C$33,2,)</f>
        <v>Downtown</v>
      </c>
      <c r="C1847" s="2">
        <v>44366</v>
      </c>
      <c r="D1847" s="3">
        <v>631.20000000000005</v>
      </c>
    </row>
    <row r="1848" spans="1:4" ht="14.7" hidden="1" thickBot="1" x14ac:dyDescent="0.6">
      <c r="A1848" s="1" t="s">
        <v>11</v>
      </c>
      <c r="B1848" t="str">
        <f>VLOOKUP(A1848,'Area Breakdown'!$B$1:$C$33,2,)</f>
        <v>New Cairo</v>
      </c>
      <c r="C1848" s="2">
        <v>44366</v>
      </c>
      <c r="D1848" s="3">
        <v>612</v>
      </c>
    </row>
    <row r="1849" spans="1:4" ht="14.7" hidden="1" thickBot="1" x14ac:dyDescent="0.6">
      <c r="A1849" s="1" t="s">
        <v>25</v>
      </c>
      <c r="B1849" t="str">
        <f>VLOOKUP(A1849,'Area Breakdown'!$B$1:$C$33,2,)</f>
        <v>October</v>
      </c>
      <c r="C1849" s="2">
        <v>44366</v>
      </c>
      <c r="D1849" s="3">
        <v>582.80000000000007</v>
      </c>
    </row>
    <row r="1850" spans="1:4" ht="14.7" hidden="1" thickBot="1" x14ac:dyDescent="0.6">
      <c r="A1850" s="1" t="s">
        <v>6</v>
      </c>
      <c r="B1850" t="str">
        <f>VLOOKUP(A1850,'Area Breakdown'!$B$1:$C$33,2,)</f>
        <v xml:space="preserve">Alexandria </v>
      </c>
      <c r="C1850" s="2">
        <v>44366</v>
      </c>
      <c r="D1850" s="3">
        <v>514.80000000000007</v>
      </c>
    </row>
    <row r="1851" spans="1:4" ht="14.7" hidden="1" thickBot="1" x14ac:dyDescent="0.6">
      <c r="A1851" s="1" t="s">
        <v>1</v>
      </c>
      <c r="B1851" t="str">
        <f>VLOOKUP(A1851,'Area Breakdown'!$B$1:$C$33,2,)</f>
        <v>Downtown</v>
      </c>
      <c r="C1851" s="2">
        <v>44366</v>
      </c>
      <c r="D1851" s="3">
        <v>504.40000000000003</v>
      </c>
    </row>
    <row r="1852" spans="1:4" ht="14.7" hidden="1" thickBot="1" x14ac:dyDescent="0.6">
      <c r="A1852" s="1" t="s">
        <v>9</v>
      </c>
      <c r="B1852" t="str">
        <f>VLOOKUP(A1852,'Area Breakdown'!$B$1:$C$33,2,)</f>
        <v xml:space="preserve">Alexandria </v>
      </c>
      <c r="C1852" s="2">
        <v>44366</v>
      </c>
      <c r="D1852" s="3">
        <v>460.40000000000003</v>
      </c>
    </row>
    <row r="1853" spans="1:4" ht="14.7" hidden="1" thickBot="1" x14ac:dyDescent="0.6">
      <c r="A1853" s="1" t="s">
        <v>15</v>
      </c>
      <c r="B1853" t="str">
        <f>VLOOKUP(A1853,'Area Breakdown'!$B$1:$C$33,2,)</f>
        <v>Heliopolis</v>
      </c>
      <c r="C1853" s="2">
        <v>44366</v>
      </c>
      <c r="D1853" s="3">
        <v>456.8</v>
      </c>
    </row>
    <row r="1854" spans="1:4" ht="14.7" hidden="1" thickBot="1" x14ac:dyDescent="0.6">
      <c r="A1854" s="1" t="s">
        <v>27</v>
      </c>
      <c r="B1854" t="str">
        <f>VLOOKUP(A1854,'Area Breakdown'!$B$1:$C$33,2,)</f>
        <v xml:space="preserve">Alexandria </v>
      </c>
      <c r="C1854" s="2">
        <v>44366</v>
      </c>
      <c r="D1854" s="3">
        <v>442</v>
      </c>
    </row>
    <row r="1855" spans="1:4" ht="14.7" hidden="1" thickBot="1" x14ac:dyDescent="0.6">
      <c r="A1855" s="1" t="s">
        <v>23</v>
      </c>
      <c r="B1855" t="str">
        <f>VLOOKUP(A1855,'Area Breakdown'!$B$1:$C$33,2,)</f>
        <v>Heliopolis</v>
      </c>
      <c r="C1855" s="2">
        <v>44366</v>
      </c>
      <c r="D1855" s="3">
        <v>438</v>
      </c>
    </row>
    <row r="1856" spans="1:4" ht="14.7" hidden="1" thickBot="1" x14ac:dyDescent="0.6">
      <c r="A1856" s="1" t="s">
        <v>2</v>
      </c>
      <c r="B1856" t="str">
        <f>VLOOKUP(A1856,'Area Breakdown'!$B$1:$C$33,2,)</f>
        <v>Downtown</v>
      </c>
      <c r="C1856" s="2">
        <v>44366</v>
      </c>
      <c r="D1856" s="3">
        <v>346.40000000000003</v>
      </c>
    </row>
    <row r="1857" spans="1:4" ht="14.7" hidden="1" thickBot="1" x14ac:dyDescent="0.6">
      <c r="A1857" s="1" t="s">
        <v>17</v>
      </c>
      <c r="B1857" t="str">
        <f>VLOOKUP(A1857,'Area Breakdown'!$B$1:$C$33,2,)</f>
        <v>Heliopolis</v>
      </c>
      <c r="C1857" s="2">
        <v>44366</v>
      </c>
      <c r="D1857" s="3">
        <v>330</v>
      </c>
    </row>
    <row r="1858" spans="1:4" ht="14.7" hidden="1" thickBot="1" x14ac:dyDescent="0.6">
      <c r="A1858" s="1" t="s">
        <v>13</v>
      </c>
      <c r="B1858" t="str">
        <f>VLOOKUP(A1858,'Area Breakdown'!$B$1:$C$33,2,)</f>
        <v>Heliopolis</v>
      </c>
      <c r="C1858" s="2">
        <v>44366</v>
      </c>
      <c r="D1858" s="3">
        <v>310.8</v>
      </c>
    </row>
    <row r="1859" spans="1:4" ht="14.7" hidden="1" thickBot="1" x14ac:dyDescent="0.6">
      <c r="A1859" s="1" t="s">
        <v>7</v>
      </c>
      <c r="B1859" t="str">
        <f>VLOOKUP(A1859,'Area Breakdown'!$B$1:$C$33,2,)</f>
        <v>October</v>
      </c>
      <c r="C1859" s="2">
        <v>44366</v>
      </c>
      <c r="D1859" s="3">
        <v>259.60000000000002</v>
      </c>
    </row>
    <row r="1860" spans="1:4" ht="14.7" hidden="1" thickBot="1" x14ac:dyDescent="0.6">
      <c r="A1860" s="1" t="s">
        <v>8</v>
      </c>
      <c r="B1860" t="str">
        <f>VLOOKUP(A1860,'Area Breakdown'!$B$1:$C$33,2,)</f>
        <v>Heliopolis</v>
      </c>
      <c r="C1860" s="2">
        <v>44366</v>
      </c>
      <c r="D1860" s="3">
        <v>258</v>
      </c>
    </row>
    <row r="1861" spans="1:4" ht="14.7" hidden="1" thickBot="1" x14ac:dyDescent="0.6">
      <c r="A1861" s="1" t="s">
        <v>4</v>
      </c>
      <c r="B1861" t="str">
        <f>VLOOKUP(A1861,'Area Breakdown'!$B$1:$C$33,2,)</f>
        <v>Downtown</v>
      </c>
      <c r="C1861" s="2">
        <v>44366</v>
      </c>
      <c r="D1861" s="3">
        <v>114.4</v>
      </c>
    </row>
    <row r="1862" spans="1:4" ht="14.7" hidden="1" thickBot="1" x14ac:dyDescent="0.6">
      <c r="A1862" s="1" t="s">
        <v>1</v>
      </c>
      <c r="B1862" t="str">
        <f>VLOOKUP(A1862,'Area Breakdown'!$B$1:$C$33,2,)</f>
        <v>Downtown</v>
      </c>
      <c r="C1862" s="2">
        <v>44367</v>
      </c>
      <c r="D1862" s="3">
        <v>1528.4</v>
      </c>
    </row>
    <row r="1863" spans="1:4" ht="14.7" hidden="1" thickBot="1" x14ac:dyDescent="0.6">
      <c r="A1863" s="1" t="s">
        <v>20</v>
      </c>
      <c r="B1863" t="str">
        <f>VLOOKUP(A1863,'Area Breakdown'!$B$1:$C$33,2,)</f>
        <v>Downtown</v>
      </c>
      <c r="C1863" s="2">
        <v>44367</v>
      </c>
      <c r="D1863" s="3">
        <v>1174.8</v>
      </c>
    </row>
    <row r="1864" spans="1:4" ht="14.7" hidden="1" thickBot="1" x14ac:dyDescent="0.6">
      <c r="A1864" s="1" t="s">
        <v>24</v>
      </c>
      <c r="B1864" t="str">
        <f>VLOOKUP(A1864,'Area Breakdown'!$B$1:$C$33,2,)</f>
        <v>October</v>
      </c>
      <c r="C1864" s="2">
        <v>44367</v>
      </c>
      <c r="D1864" s="3">
        <v>1159.2</v>
      </c>
    </row>
    <row r="1865" spans="1:4" ht="14.7" hidden="1" thickBot="1" x14ac:dyDescent="0.6">
      <c r="A1865" s="1" t="s">
        <v>21</v>
      </c>
      <c r="B1865" t="str">
        <f>VLOOKUP(A1865,'Area Breakdown'!$B$1:$C$33,2,)</f>
        <v>Heliopolis</v>
      </c>
      <c r="C1865" s="2">
        <v>44367</v>
      </c>
      <c r="D1865" s="3">
        <v>1040</v>
      </c>
    </row>
    <row r="1866" spans="1:4" ht="14.7" hidden="1" thickBot="1" x14ac:dyDescent="0.6">
      <c r="A1866" s="1" t="s">
        <v>2</v>
      </c>
      <c r="B1866" t="str">
        <f>VLOOKUP(A1866,'Area Breakdown'!$B$1:$C$33,2,)</f>
        <v>Downtown</v>
      </c>
      <c r="C1866" s="2">
        <v>44367</v>
      </c>
      <c r="D1866" s="3">
        <v>1033.6000000000001</v>
      </c>
    </row>
    <row r="1867" spans="1:4" ht="14.7" hidden="1" thickBot="1" x14ac:dyDescent="0.6">
      <c r="A1867" s="1" t="s">
        <v>11</v>
      </c>
      <c r="B1867" t="str">
        <f>VLOOKUP(A1867,'Area Breakdown'!$B$1:$C$33,2,)</f>
        <v>New Cairo</v>
      </c>
      <c r="C1867" s="2">
        <v>44367</v>
      </c>
      <c r="D1867" s="3">
        <v>1022.8000000000001</v>
      </c>
    </row>
    <row r="1868" spans="1:4" ht="14.7" hidden="1" thickBot="1" x14ac:dyDescent="0.6">
      <c r="A1868" s="1" t="s">
        <v>13</v>
      </c>
      <c r="B1868" t="str">
        <f>VLOOKUP(A1868,'Area Breakdown'!$B$1:$C$33,2,)</f>
        <v>Heliopolis</v>
      </c>
      <c r="C1868" s="2">
        <v>44367</v>
      </c>
      <c r="D1868" s="3">
        <v>998.40000000000009</v>
      </c>
    </row>
    <row r="1869" spans="1:4" ht="14.7" hidden="1" thickBot="1" x14ac:dyDescent="0.6">
      <c r="A1869" s="1" t="s">
        <v>22</v>
      </c>
      <c r="B1869" t="str">
        <f>VLOOKUP(A1869,'Area Breakdown'!$B$1:$C$33,2,)</f>
        <v>Heliopolis</v>
      </c>
      <c r="C1869" s="2">
        <v>44367</v>
      </c>
      <c r="D1869" s="3">
        <v>993.2</v>
      </c>
    </row>
    <row r="1870" spans="1:4" ht="14.7" hidden="1" thickBot="1" x14ac:dyDescent="0.6">
      <c r="A1870" s="1" t="s">
        <v>25</v>
      </c>
      <c r="B1870" t="str">
        <f>VLOOKUP(A1870,'Area Breakdown'!$B$1:$C$33,2,)</f>
        <v>October</v>
      </c>
      <c r="C1870" s="2">
        <v>44367</v>
      </c>
      <c r="D1870" s="3">
        <v>869.6</v>
      </c>
    </row>
    <row r="1871" spans="1:4" ht="14.7" hidden="1" thickBot="1" x14ac:dyDescent="0.6">
      <c r="A1871" s="1" t="s">
        <v>9</v>
      </c>
      <c r="B1871" t="str">
        <f>VLOOKUP(A1871,'Area Breakdown'!$B$1:$C$33,2,)</f>
        <v xml:space="preserve">Alexandria </v>
      </c>
      <c r="C1871" s="2">
        <v>44367</v>
      </c>
      <c r="D1871" s="3">
        <v>837.6</v>
      </c>
    </row>
    <row r="1872" spans="1:4" ht="14.7" hidden="1" thickBot="1" x14ac:dyDescent="0.6">
      <c r="A1872" s="1" t="s">
        <v>27</v>
      </c>
      <c r="B1872" t="str">
        <f>VLOOKUP(A1872,'Area Breakdown'!$B$1:$C$33,2,)</f>
        <v xml:space="preserve">Alexandria </v>
      </c>
      <c r="C1872" s="2">
        <v>44367</v>
      </c>
      <c r="D1872" s="3">
        <v>776.80000000000007</v>
      </c>
    </row>
    <row r="1873" spans="1:4" ht="14.7" hidden="1" thickBot="1" x14ac:dyDescent="0.6">
      <c r="A1873" s="1" t="s">
        <v>10</v>
      </c>
      <c r="B1873" t="str">
        <f>VLOOKUP(A1873,'Area Breakdown'!$B$1:$C$33,2,)</f>
        <v xml:space="preserve">Alexandria </v>
      </c>
      <c r="C1873" s="2">
        <v>44367</v>
      </c>
      <c r="D1873" s="3">
        <v>728</v>
      </c>
    </row>
    <row r="1874" spans="1:4" ht="14.7" hidden="1" thickBot="1" x14ac:dyDescent="0.6">
      <c r="A1874" s="1" t="s">
        <v>3</v>
      </c>
      <c r="B1874" t="str">
        <f>VLOOKUP(A1874,'Area Breakdown'!$B$1:$C$33,2,)</f>
        <v>Downtown</v>
      </c>
      <c r="C1874" s="2">
        <v>44367</v>
      </c>
      <c r="D1874" s="3">
        <v>647.6</v>
      </c>
    </row>
    <row r="1875" spans="1:4" ht="14.7" hidden="1" thickBot="1" x14ac:dyDescent="0.6">
      <c r="A1875" s="1" t="s">
        <v>8</v>
      </c>
      <c r="B1875" t="str">
        <f>VLOOKUP(A1875,'Area Breakdown'!$B$1:$C$33,2,)</f>
        <v>Heliopolis</v>
      </c>
      <c r="C1875" s="2">
        <v>44367</v>
      </c>
      <c r="D1875" s="3">
        <v>644.40000000000009</v>
      </c>
    </row>
    <row r="1876" spans="1:4" ht="14.7" hidden="1" thickBot="1" x14ac:dyDescent="0.6">
      <c r="A1876" s="1" t="s">
        <v>16</v>
      </c>
      <c r="B1876" t="str">
        <f>VLOOKUP(A1876,'Area Breakdown'!$B$1:$C$33,2,)</f>
        <v>Downtown</v>
      </c>
      <c r="C1876" s="2">
        <v>44367</v>
      </c>
      <c r="D1876" s="3">
        <v>557.20000000000005</v>
      </c>
    </row>
    <row r="1877" spans="1:4" ht="14.7" hidden="1" thickBot="1" x14ac:dyDescent="0.6">
      <c r="A1877" s="1" t="s">
        <v>17</v>
      </c>
      <c r="B1877" t="str">
        <f>VLOOKUP(A1877,'Area Breakdown'!$B$1:$C$33,2,)</f>
        <v>Heliopolis</v>
      </c>
      <c r="C1877" s="2">
        <v>44367</v>
      </c>
      <c r="D1877" s="3">
        <v>506.8</v>
      </c>
    </row>
    <row r="1878" spans="1:4" ht="14.7" hidden="1" thickBot="1" x14ac:dyDescent="0.6">
      <c r="A1878" s="1" t="s">
        <v>4</v>
      </c>
      <c r="B1878" t="str">
        <f>VLOOKUP(A1878,'Area Breakdown'!$B$1:$C$33,2,)</f>
        <v>Downtown</v>
      </c>
      <c r="C1878" s="2">
        <v>44367</v>
      </c>
      <c r="D1878" s="3">
        <v>435.20000000000005</v>
      </c>
    </row>
    <row r="1879" spans="1:4" ht="14.7" hidden="1" thickBot="1" x14ac:dyDescent="0.6">
      <c r="A1879" s="1" t="s">
        <v>6</v>
      </c>
      <c r="B1879" t="str">
        <f>VLOOKUP(A1879,'Area Breakdown'!$B$1:$C$33,2,)</f>
        <v xml:space="preserve">Alexandria </v>
      </c>
      <c r="C1879" s="2">
        <v>44367</v>
      </c>
      <c r="D1879" s="3">
        <v>410</v>
      </c>
    </row>
    <row r="1880" spans="1:4" ht="14.7" hidden="1" thickBot="1" x14ac:dyDescent="0.6">
      <c r="A1880" s="1" t="s">
        <v>15</v>
      </c>
      <c r="B1880" t="str">
        <f>VLOOKUP(A1880,'Area Breakdown'!$B$1:$C$33,2,)</f>
        <v>Heliopolis</v>
      </c>
      <c r="C1880" s="2">
        <v>44367</v>
      </c>
      <c r="D1880" s="3">
        <v>384.40000000000003</v>
      </c>
    </row>
    <row r="1881" spans="1:4" ht="14.7" hidden="1" thickBot="1" x14ac:dyDescent="0.6">
      <c r="A1881" s="1" t="s">
        <v>7</v>
      </c>
      <c r="B1881" t="str">
        <f>VLOOKUP(A1881,'Area Breakdown'!$B$1:$C$33,2,)</f>
        <v>October</v>
      </c>
      <c r="C1881" s="2">
        <v>44367</v>
      </c>
      <c r="D1881" s="3">
        <v>358.8</v>
      </c>
    </row>
    <row r="1882" spans="1:4" ht="14.7" hidden="1" thickBot="1" x14ac:dyDescent="0.6">
      <c r="A1882" s="1" t="s">
        <v>23</v>
      </c>
      <c r="B1882" t="str">
        <f>VLOOKUP(A1882,'Area Breakdown'!$B$1:$C$33,2,)</f>
        <v>Heliopolis</v>
      </c>
      <c r="C1882" s="2">
        <v>44367</v>
      </c>
      <c r="D1882" s="3">
        <v>284.40000000000003</v>
      </c>
    </row>
    <row r="1883" spans="1:4" ht="14.7" hidden="1" thickBot="1" x14ac:dyDescent="0.6">
      <c r="A1883" s="1" t="s">
        <v>0</v>
      </c>
      <c r="B1883" t="str">
        <f>VLOOKUP(A1883,'Area Breakdown'!$B$1:$C$33,2,)</f>
        <v>Downtown</v>
      </c>
      <c r="C1883" s="2">
        <v>44367</v>
      </c>
      <c r="D1883" s="3">
        <v>1840</v>
      </c>
    </row>
    <row r="1884" spans="1:4" ht="14.7" hidden="1" thickBot="1" x14ac:dyDescent="0.6">
      <c r="A1884" s="1" t="s">
        <v>12</v>
      </c>
      <c r="B1884" t="str">
        <f>VLOOKUP(A1884,'Area Breakdown'!$B$1:$C$33,2,)</f>
        <v>New Cairo</v>
      </c>
      <c r="C1884" s="2">
        <v>44367</v>
      </c>
      <c r="D1884" s="3">
        <v>1805.2</v>
      </c>
    </row>
    <row r="1885" spans="1:4" ht="14.7" hidden="1" thickBot="1" x14ac:dyDescent="0.6">
      <c r="A1885" s="1" t="s">
        <v>19</v>
      </c>
      <c r="B1885" t="str">
        <f>VLOOKUP(A1885,'Area Breakdown'!$B$1:$C$33,2,)</f>
        <v>Downtown</v>
      </c>
      <c r="C1885" s="2">
        <v>44367</v>
      </c>
      <c r="D1885" s="3">
        <v>1654</v>
      </c>
    </row>
    <row r="1886" spans="1:4" ht="14.7" hidden="1" thickBot="1" x14ac:dyDescent="0.6">
      <c r="A1886" s="1" t="s">
        <v>1</v>
      </c>
      <c r="B1886" t="str">
        <f>VLOOKUP(A1886,'Area Breakdown'!$B$1:$C$33,2,)</f>
        <v>Downtown</v>
      </c>
      <c r="C1886" s="2">
        <v>44368</v>
      </c>
      <c r="D1886" s="3">
        <v>1538.8000000000002</v>
      </c>
    </row>
    <row r="1887" spans="1:4" ht="14.7" hidden="1" thickBot="1" x14ac:dyDescent="0.6">
      <c r="A1887" s="1" t="s">
        <v>25</v>
      </c>
      <c r="B1887" t="str">
        <f>VLOOKUP(A1887,'Area Breakdown'!$B$1:$C$33,2,)</f>
        <v>October</v>
      </c>
      <c r="C1887" s="2">
        <v>44368</v>
      </c>
      <c r="D1887" s="3">
        <v>1252.8000000000002</v>
      </c>
    </row>
    <row r="1888" spans="1:4" ht="14.7" hidden="1" thickBot="1" x14ac:dyDescent="0.6">
      <c r="A1888" s="1" t="s">
        <v>22</v>
      </c>
      <c r="B1888" t="str">
        <f>VLOOKUP(A1888,'Area Breakdown'!$B$1:$C$33,2,)</f>
        <v>Heliopolis</v>
      </c>
      <c r="C1888" s="2">
        <v>44368</v>
      </c>
      <c r="D1888" s="3">
        <v>1093.2</v>
      </c>
    </row>
    <row r="1889" spans="1:4" ht="14.7" hidden="1" thickBot="1" x14ac:dyDescent="0.6">
      <c r="A1889" s="1" t="s">
        <v>24</v>
      </c>
      <c r="B1889" t="str">
        <f>VLOOKUP(A1889,'Area Breakdown'!$B$1:$C$33,2,)</f>
        <v>October</v>
      </c>
      <c r="C1889" s="2">
        <v>44368</v>
      </c>
      <c r="D1889" s="3">
        <v>1064.4000000000001</v>
      </c>
    </row>
    <row r="1890" spans="1:4" ht="14.7" hidden="1" thickBot="1" x14ac:dyDescent="0.6">
      <c r="A1890" s="1" t="s">
        <v>19</v>
      </c>
      <c r="B1890" t="str">
        <f>VLOOKUP(A1890,'Area Breakdown'!$B$1:$C$33,2,)</f>
        <v>Downtown</v>
      </c>
      <c r="C1890" s="2">
        <v>44368</v>
      </c>
      <c r="D1890" s="3">
        <v>1031.2</v>
      </c>
    </row>
    <row r="1891" spans="1:4" ht="14.7" hidden="1" thickBot="1" x14ac:dyDescent="0.6">
      <c r="A1891" s="1" t="s">
        <v>11</v>
      </c>
      <c r="B1891" t="str">
        <f>VLOOKUP(A1891,'Area Breakdown'!$B$1:$C$33,2,)</f>
        <v>New Cairo</v>
      </c>
      <c r="C1891" s="2">
        <v>44368</v>
      </c>
      <c r="D1891" s="3">
        <v>991.6</v>
      </c>
    </row>
    <row r="1892" spans="1:4" ht="14.7" hidden="1" thickBot="1" x14ac:dyDescent="0.6">
      <c r="A1892" s="1" t="s">
        <v>9</v>
      </c>
      <c r="B1892" t="str">
        <f>VLOOKUP(A1892,'Area Breakdown'!$B$1:$C$33,2,)</f>
        <v xml:space="preserve">Alexandria </v>
      </c>
      <c r="C1892" s="2">
        <v>44368</v>
      </c>
      <c r="D1892" s="3">
        <v>835.6</v>
      </c>
    </row>
    <row r="1893" spans="1:4" ht="14.7" hidden="1" thickBot="1" x14ac:dyDescent="0.6">
      <c r="A1893" s="1" t="s">
        <v>2</v>
      </c>
      <c r="B1893" t="str">
        <f>VLOOKUP(A1893,'Area Breakdown'!$B$1:$C$33,2,)</f>
        <v>Downtown</v>
      </c>
      <c r="C1893" s="2">
        <v>44368</v>
      </c>
      <c r="D1893" s="3">
        <v>752.80000000000007</v>
      </c>
    </row>
    <row r="1894" spans="1:4" ht="14.7" hidden="1" thickBot="1" x14ac:dyDescent="0.6">
      <c r="A1894" s="1" t="s">
        <v>13</v>
      </c>
      <c r="B1894" t="str">
        <f>VLOOKUP(A1894,'Area Breakdown'!$B$1:$C$33,2,)</f>
        <v>Heliopolis</v>
      </c>
      <c r="C1894" s="2">
        <v>44368</v>
      </c>
      <c r="D1894" s="3">
        <v>748.80000000000007</v>
      </c>
    </row>
    <row r="1895" spans="1:4" ht="14.7" hidden="1" thickBot="1" x14ac:dyDescent="0.6">
      <c r="A1895" s="1" t="s">
        <v>3</v>
      </c>
      <c r="B1895" t="str">
        <f>VLOOKUP(A1895,'Area Breakdown'!$B$1:$C$33,2,)</f>
        <v>Downtown</v>
      </c>
      <c r="C1895" s="2">
        <v>44368</v>
      </c>
      <c r="D1895" s="3">
        <v>748.40000000000009</v>
      </c>
    </row>
    <row r="1896" spans="1:4" ht="14.7" hidden="1" thickBot="1" x14ac:dyDescent="0.6">
      <c r="A1896" s="1" t="s">
        <v>27</v>
      </c>
      <c r="B1896" t="str">
        <f>VLOOKUP(A1896,'Area Breakdown'!$B$1:$C$33,2,)</f>
        <v xml:space="preserve">Alexandria </v>
      </c>
      <c r="C1896" s="2">
        <v>44368</v>
      </c>
      <c r="D1896" s="3">
        <v>660.80000000000007</v>
      </c>
    </row>
    <row r="1897" spans="1:4" ht="14.7" hidden="1" thickBot="1" x14ac:dyDescent="0.6">
      <c r="A1897" s="1" t="s">
        <v>15</v>
      </c>
      <c r="B1897" t="str">
        <f>VLOOKUP(A1897,'Area Breakdown'!$B$1:$C$33,2,)</f>
        <v>Heliopolis</v>
      </c>
      <c r="C1897" s="2">
        <v>44368</v>
      </c>
      <c r="D1897" s="3">
        <v>656</v>
      </c>
    </row>
    <row r="1898" spans="1:4" ht="14.7" hidden="1" thickBot="1" x14ac:dyDescent="0.6">
      <c r="A1898" s="1" t="s">
        <v>10</v>
      </c>
      <c r="B1898" t="str">
        <f>VLOOKUP(A1898,'Area Breakdown'!$B$1:$C$33,2,)</f>
        <v xml:space="preserve">Alexandria </v>
      </c>
      <c r="C1898" s="2">
        <v>44368</v>
      </c>
      <c r="D1898" s="3">
        <v>604</v>
      </c>
    </row>
    <row r="1899" spans="1:4" ht="14.7" hidden="1" thickBot="1" x14ac:dyDescent="0.6">
      <c r="A1899" s="1" t="s">
        <v>16</v>
      </c>
      <c r="B1899" t="str">
        <f>VLOOKUP(A1899,'Area Breakdown'!$B$1:$C$33,2,)</f>
        <v>Downtown</v>
      </c>
      <c r="C1899" s="2">
        <v>44368</v>
      </c>
      <c r="D1899" s="3">
        <v>582.80000000000007</v>
      </c>
    </row>
    <row r="1900" spans="1:4" ht="14.7" hidden="1" thickBot="1" x14ac:dyDescent="0.6">
      <c r="A1900" s="1" t="s">
        <v>8</v>
      </c>
      <c r="B1900" t="str">
        <f>VLOOKUP(A1900,'Area Breakdown'!$B$1:$C$33,2,)</f>
        <v>Heliopolis</v>
      </c>
      <c r="C1900" s="2">
        <v>44368</v>
      </c>
      <c r="D1900" s="3">
        <v>494</v>
      </c>
    </row>
    <row r="1901" spans="1:4" ht="14.7" hidden="1" thickBot="1" x14ac:dyDescent="0.6">
      <c r="A1901" s="1" t="s">
        <v>17</v>
      </c>
      <c r="B1901" t="str">
        <f>VLOOKUP(A1901,'Area Breakdown'!$B$1:$C$33,2,)</f>
        <v>Heliopolis</v>
      </c>
      <c r="C1901" s="2">
        <v>44368</v>
      </c>
      <c r="D1901" s="3">
        <v>488.8</v>
      </c>
    </row>
    <row r="1902" spans="1:4" ht="14.7" hidden="1" thickBot="1" x14ac:dyDescent="0.6">
      <c r="A1902" s="1" t="s">
        <v>21</v>
      </c>
      <c r="B1902" t="str">
        <f>VLOOKUP(A1902,'Area Breakdown'!$B$1:$C$33,2,)</f>
        <v>Heliopolis</v>
      </c>
      <c r="C1902" s="2">
        <v>44368</v>
      </c>
      <c r="D1902" s="3">
        <v>485.20000000000005</v>
      </c>
    </row>
    <row r="1903" spans="1:4" ht="14.7" hidden="1" thickBot="1" x14ac:dyDescent="0.6">
      <c r="A1903" s="1" t="s">
        <v>6</v>
      </c>
      <c r="B1903" t="str">
        <f>VLOOKUP(A1903,'Area Breakdown'!$B$1:$C$33,2,)</f>
        <v xml:space="preserve">Alexandria </v>
      </c>
      <c r="C1903" s="2">
        <v>44368</v>
      </c>
      <c r="D1903" s="3">
        <v>452.8</v>
      </c>
    </row>
    <row r="1904" spans="1:4" ht="14.7" hidden="1" thickBot="1" x14ac:dyDescent="0.6">
      <c r="A1904" s="1" t="s">
        <v>4</v>
      </c>
      <c r="B1904" t="str">
        <f>VLOOKUP(A1904,'Area Breakdown'!$B$1:$C$33,2,)</f>
        <v>Downtown</v>
      </c>
      <c r="C1904" s="2">
        <v>44368</v>
      </c>
      <c r="D1904" s="3">
        <v>424.8</v>
      </c>
    </row>
    <row r="1905" spans="1:4" ht="14.7" hidden="1" thickBot="1" x14ac:dyDescent="0.6">
      <c r="A1905" s="1" t="s">
        <v>23</v>
      </c>
      <c r="B1905" t="str">
        <f>VLOOKUP(A1905,'Area Breakdown'!$B$1:$C$33,2,)</f>
        <v>Heliopolis</v>
      </c>
      <c r="C1905" s="2">
        <v>44368</v>
      </c>
      <c r="D1905" s="3">
        <v>272</v>
      </c>
    </row>
    <row r="1906" spans="1:4" ht="14.7" hidden="1" thickBot="1" x14ac:dyDescent="0.6">
      <c r="A1906" s="1" t="s">
        <v>20</v>
      </c>
      <c r="B1906" t="str">
        <f>VLOOKUP(A1906,'Area Breakdown'!$B$1:$C$33,2,)</f>
        <v>Downtown</v>
      </c>
      <c r="C1906" s="2">
        <v>44368</v>
      </c>
      <c r="D1906" s="3">
        <v>1277.2</v>
      </c>
    </row>
    <row r="1907" spans="1:4" ht="14.7" hidden="1" thickBot="1" x14ac:dyDescent="0.6">
      <c r="A1907" s="1" t="s">
        <v>12</v>
      </c>
      <c r="B1907" t="str">
        <f>VLOOKUP(A1907,'Area Breakdown'!$B$1:$C$33,2,)</f>
        <v>New Cairo</v>
      </c>
      <c r="C1907" s="2">
        <v>44368</v>
      </c>
      <c r="D1907" s="3">
        <v>1872</v>
      </c>
    </row>
    <row r="1908" spans="1:4" ht="14.7" hidden="1" thickBot="1" x14ac:dyDescent="0.6">
      <c r="A1908" s="1" t="s">
        <v>0</v>
      </c>
      <c r="B1908" t="str">
        <f>VLOOKUP(A1908,'Area Breakdown'!$B$1:$C$33,2,)</f>
        <v>Downtown</v>
      </c>
      <c r="C1908" s="2">
        <v>44368</v>
      </c>
      <c r="D1908" s="3">
        <v>1828.4</v>
      </c>
    </row>
    <row r="1909" spans="1:4" ht="14.7" hidden="1" thickBot="1" x14ac:dyDescent="0.6">
      <c r="A1909" s="1" t="s">
        <v>19</v>
      </c>
      <c r="B1909" t="str">
        <f>VLOOKUP(A1909,'Area Breakdown'!$B$1:$C$33,2,)</f>
        <v>Downtown</v>
      </c>
      <c r="C1909" s="2">
        <v>44369</v>
      </c>
      <c r="D1909" s="3">
        <v>1491.2</v>
      </c>
    </row>
    <row r="1910" spans="1:4" ht="14.7" hidden="1" thickBot="1" x14ac:dyDescent="0.6">
      <c r="A1910" s="1" t="s">
        <v>20</v>
      </c>
      <c r="B1910" t="str">
        <f>VLOOKUP(A1910,'Area Breakdown'!$B$1:$C$33,2,)</f>
        <v>Downtown</v>
      </c>
      <c r="C1910" s="2">
        <v>44369</v>
      </c>
      <c r="D1910" s="3">
        <v>1254.8000000000002</v>
      </c>
    </row>
    <row r="1911" spans="1:4" ht="14.7" hidden="1" thickBot="1" x14ac:dyDescent="0.6">
      <c r="A1911" s="1" t="s">
        <v>1</v>
      </c>
      <c r="B1911" t="str">
        <f>VLOOKUP(A1911,'Area Breakdown'!$B$1:$C$33,2,)</f>
        <v>Downtown</v>
      </c>
      <c r="C1911" s="2">
        <v>44369</v>
      </c>
      <c r="D1911" s="3">
        <v>1218.4000000000001</v>
      </c>
    </row>
    <row r="1912" spans="1:4" ht="14.7" hidden="1" thickBot="1" x14ac:dyDescent="0.6">
      <c r="A1912" s="1" t="s">
        <v>21</v>
      </c>
      <c r="B1912" t="str">
        <f>VLOOKUP(A1912,'Area Breakdown'!$B$1:$C$33,2,)</f>
        <v>Heliopolis</v>
      </c>
      <c r="C1912" s="2">
        <v>44369</v>
      </c>
      <c r="D1912" s="3">
        <v>1117.6000000000001</v>
      </c>
    </row>
    <row r="1913" spans="1:4" ht="14.7" hidden="1" thickBot="1" x14ac:dyDescent="0.6">
      <c r="A1913" s="1" t="s">
        <v>2</v>
      </c>
      <c r="B1913" t="str">
        <f>VLOOKUP(A1913,'Area Breakdown'!$B$1:$C$33,2,)</f>
        <v>Downtown</v>
      </c>
      <c r="C1913" s="2">
        <v>44369</v>
      </c>
      <c r="D1913" s="3">
        <v>1107.2</v>
      </c>
    </row>
    <row r="1914" spans="1:4" ht="14.7" hidden="1" thickBot="1" x14ac:dyDescent="0.6">
      <c r="A1914" s="1" t="s">
        <v>22</v>
      </c>
      <c r="B1914" t="str">
        <f>VLOOKUP(A1914,'Area Breakdown'!$B$1:$C$33,2,)</f>
        <v>Heliopolis</v>
      </c>
      <c r="C1914" s="2">
        <v>44369</v>
      </c>
      <c r="D1914" s="3">
        <v>1049.6000000000001</v>
      </c>
    </row>
    <row r="1915" spans="1:4" ht="14.7" hidden="1" thickBot="1" x14ac:dyDescent="0.6">
      <c r="A1915" s="1" t="s">
        <v>24</v>
      </c>
      <c r="B1915" t="str">
        <f>VLOOKUP(A1915,'Area Breakdown'!$B$1:$C$33,2,)</f>
        <v>October</v>
      </c>
      <c r="C1915" s="2">
        <v>44369</v>
      </c>
      <c r="D1915" s="3">
        <v>1040.4000000000001</v>
      </c>
    </row>
    <row r="1916" spans="1:4" ht="14.7" hidden="1" thickBot="1" x14ac:dyDescent="0.6">
      <c r="A1916" s="1" t="s">
        <v>25</v>
      </c>
      <c r="B1916" t="str">
        <f>VLOOKUP(A1916,'Area Breakdown'!$B$1:$C$33,2,)</f>
        <v>October</v>
      </c>
      <c r="C1916" s="2">
        <v>44369</v>
      </c>
      <c r="D1916" s="3">
        <v>1027.6000000000001</v>
      </c>
    </row>
    <row r="1917" spans="1:4" ht="14.7" hidden="1" thickBot="1" x14ac:dyDescent="0.6">
      <c r="A1917" s="1" t="s">
        <v>3</v>
      </c>
      <c r="B1917" t="str">
        <f>VLOOKUP(A1917,'Area Breakdown'!$B$1:$C$33,2,)</f>
        <v>Downtown</v>
      </c>
      <c r="C1917" s="2">
        <v>44369</v>
      </c>
      <c r="D1917" s="3">
        <v>954</v>
      </c>
    </row>
    <row r="1918" spans="1:4" ht="14.7" hidden="1" thickBot="1" x14ac:dyDescent="0.6">
      <c r="A1918" s="1" t="s">
        <v>10</v>
      </c>
      <c r="B1918" t="str">
        <f>VLOOKUP(A1918,'Area Breakdown'!$B$1:$C$33,2,)</f>
        <v xml:space="preserve">Alexandria </v>
      </c>
      <c r="C1918" s="2">
        <v>44369</v>
      </c>
      <c r="D1918" s="3">
        <v>917.2</v>
      </c>
    </row>
    <row r="1919" spans="1:4" ht="14.7" hidden="1" thickBot="1" x14ac:dyDescent="0.6">
      <c r="A1919" s="1" t="s">
        <v>4</v>
      </c>
      <c r="B1919" t="str">
        <f>VLOOKUP(A1919,'Area Breakdown'!$B$1:$C$33,2,)</f>
        <v>Downtown</v>
      </c>
      <c r="C1919" s="2">
        <v>44369</v>
      </c>
      <c r="D1919" s="3">
        <v>908.80000000000007</v>
      </c>
    </row>
    <row r="1920" spans="1:4" ht="14.7" hidden="1" thickBot="1" x14ac:dyDescent="0.6">
      <c r="A1920" s="1" t="s">
        <v>9</v>
      </c>
      <c r="B1920" t="str">
        <f>VLOOKUP(A1920,'Area Breakdown'!$B$1:$C$33,2,)</f>
        <v xml:space="preserve">Alexandria </v>
      </c>
      <c r="C1920" s="2">
        <v>44369</v>
      </c>
      <c r="D1920" s="3">
        <v>840</v>
      </c>
    </row>
    <row r="1921" spans="1:4" ht="14.7" hidden="1" thickBot="1" x14ac:dyDescent="0.6">
      <c r="A1921" s="1" t="s">
        <v>27</v>
      </c>
      <c r="B1921" t="str">
        <f>VLOOKUP(A1921,'Area Breakdown'!$B$1:$C$33,2,)</f>
        <v xml:space="preserve">Alexandria </v>
      </c>
      <c r="C1921" s="2">
        <v>44369</v>
      </c>
      <c r="D1921" s="3">
        <v>803.6</v>
      </c>
    </row>
    <row r="1922" spans="1:4" ht="14.7" hidden="1" thickBot="1" x14ac:dyDescent="0.6">
      <c r="A1922" s="1" t="s">
        <v>11</v>
      </c>
      <c r="B1922" t="str">
        <f>VLOOKUP(A1922,'Area Breakdown'!$B$1:$C$33,2,)</f>
        <v>New Cairo</v>
      </c>
      <c r="C1922" s="2">
        <v>44369</v>
      </c>
      <c r="D1922" s="3">
        <v>780.40000000000009</v>
      </c>
    </row>
    <row r="1923" spans="1:4" ht="14.7" hidden="1" thickBot="1" x14ac:dyDescent="0.6">
      <c r="A1923" s="1" t="s">
        <v>8</v>
      </c>
      <c r="B1923" t="str">
        <f>VLOOKUP(A1923,'Area Breakdown'!$B$1:$C$33,2,)</f>
        <v>Heliopolis</v>
      </c>
      <c r="C1923" s="2">
        <v>44369</v>
      </c>
      <c r="D1923" s="3">
        <v>718.40000000000009</v>
      </c>
    </row>
    <row r="1924" spans="1:4" ht="14.7" hidden="1" thickBot="1" x14ac:dyDescent="0.6">
      <c r="A1924" s="1" t="s">
        <v>17</v>
      </c>
      <c r="B1924" t="str">
        <f>VLOOKUP(A1924,'Area Breakdown'!$B$1:$C$33,2,)</f>
        <v>Heliopolis</v>
      </c>
      <c r="C1924" s="2">
        <v>44369</v>
      </c>
      <c r="D1924" s="3">
        <v>704</v>
      </c>
    </row>
    <row r="1925" spans="1:4" ht="14.7" hidden="1" thickBot="1" x14ac:dyDescent="0.6">
      <c r="A1925" s="1" t="s">
        <v>16</v>
      </c>
      <c r="B1925" t="str">
        <f>VLOOKUP(A1925,'Area Breakdown'!$B$1:$C$33,2,)</f>
        <v>Downtown</v>
      </c>
      <c r="C1925" s="2">
        <v>44369</v>
      </c>
      <c r="D1925" s="3">
        <v>648.80000000000007</v>
      </c>
    </row>
    <row r="1926" spans="1:4" ht="14.7" hidden="1" thickBot="1" x14ac:dyDescent="0.6">
      <c r="A1926" s="1" t="s">
        <v>23</v>
      </c>
      <c r="B1926" t="str">
        <f>VLOOKUP(A1926,'Area Breakdown'!$B$1:$C$33,2,)</f>
        <v>Heliopolis</v>
      </c>
      <c r="C1926" s="2">
        <v>44369</v>
      </c>
      <c r="D1926" s="3">
        <v>588.4</v>
      </c>
    </row>
    <row r="1927" spans="1:4" ht="14.7" hidden="1" thickBot="1" x14ac:dyDescent="0.6">
      <c r="A1927" s="1" t="s">
        <v>13</v>
      </c>
      <c r="B1927" t="str">
        <f>VLOOKUP(A1927,'Area Breakdown'!$B$1:$C$33,2,)</f>
        <v>Heliopolis</v>
      </c>
      <c r="C1927" s="2">
        <v>44369</v>
      </c>
      <c r="D1927" s="3">
        <v>509.20000000000005</v>
      </c>
    </row>
    <row r="1928" spans="1:4" ht="14.7" hidden="1" thickBot="1" x14ac:dyDescent="0.6">
      <c r="A1928" s="1" t="s">
        <v>15</v>
      </c>
      <c r="B1928" t="str">
        <f>VLOOKUP(A1928,'Area Breakdown'!$B$1:$C$33,2,)</f>
        <v>Heliopolis</v>
      </c>
      <c r="C1928" s="2">
        <v>44369</v>
      </c>
      <c r="D1928" s="3">
        <v>452.40000000000003</v>
      </c>
    </row>
    <row r="1929" spans="1:4" ht="14.7" hidden="1" thickBot="1" x14ac:dyDescent="0.6">
      <c r="A1929" s="1" t="s">
        <v>7</v>
      </c>
      <c r="B1929" t="str">
        <f>VLOOKUP(A1929,'Area Breakdown'!$B$1:$C$33,2,)</f>
        <v>October</v>
      </c>
      <c r="C1929" s="2">
        <v>44369</v>
      </c>
      <c r="D1929" s="3">
        <v>434.40000000000003</v>
      </c>
    </row>
    <row r="1930" spans="1:4" ht="14.7" hidden="1" thickBot="1" x14ac:dyDescent="0.6">
      <c r="A1930" s="1" t="s">
        <v>6</v>
      </c>
      <c r="B1930" t="str">
        <f>VLOOKUP(A1930,'Area Breakdown'!$B$1:$C$33,2,)</f>
        <v xml:space="preserve">Alexandria </v>
      </c>
      <c r="C1930" s="2">
        <v>44369</v>
      </c>
      <c r="D1930" s="3">
        <v>390.8</v>
      </c>
    </row>
    <row r="1931" spans="1:4" ht="14.7" hidden="1" thickBot="1" x14ac:dyDescent="0.6">
      <c r="A1931" s="1" t="s">
        <v>12</v>
      </c>
      <c r="B1931" t="str">
        <f>VLOOKUP(A1931,'Area Breakdown'!$B$1:$C$33,2,)</f>
        <v>New Cairo</v>
      </c>
      <c r="C1931" s="2">
        <v>44369</v>
      </c>
      <c r="D1931" s="3">
        <v>1777.2</v>
      </c>
    </row>
    <row r="1932" spans="1:4" ht="14.7" hidden="1" thickBot="1" x14ac:dyDescent="0.6">
      <c r="A1932" s="1" t="s">
        <v>0</v>
      </c>
      <c r="B1932" t="str">
        <f>VLOOKUP(A1932,'Area Breakdown'!$B$1:$C$33,2,)</f>
        <v>Downtown</v>
      </c>
      <c r="C1932" s="2">
        <v>44369</v>
      </c>
      <c r="D1932" s="3">
        <v>1766</v>
      </c>
    </row>
    <row r="1933" spans="1:4" ht="14.7" hidden="1" thickBot="1" x14ac:dyDescent="0.6">
      <c r="A1933" s="1" t="s">
        <v>12</v>
      </c>
      <c r="B1933" t="str">
        <f>VLOOKUP(A1933,'Area Breakdown'!$B$1:$C$33,2,)</f>
        <v>New Cairo</v>
      </c>
      <c r="C1933" s="2">
        <v>44370</v>
      </c>
      <c r="D1933" s="3">
        <v>1599.6000000000001</v>
      </c>
    </row>
    <row r="1934" spans="1:4" ht="14.7" hidden="1" thickBot="1" x14ac:dyDescent="0.6">
      <c r="A1934" s="1" t="s">
        <v>22</v>
      </c>
      <c r="B1934" t="str">
        <f>VLOOKUP(A1934,'Area Breakdown'!$B$1:$C$33,2,)</f>
        <v>Heliopolis</v>
      </c>
      <c r="C1934" s="2">
        <v>44370</v>
      </c>
      <c r="D1934" s="3">
        <v>1450.8000000000002</v>
      </c>
    </row>
    <row r="1935" spans="1:4" ht="14.7" hidden="1" thickBot="1" x14ac:dyDescent="0.6">
      <c r="A1935" s="1" t="s">
        <v>2</v>
      </c>
      <c r="B1935" t="str">
        <f>VLOOKUP(A1935,'Area Breakdown'!$B$1:$C$33,2,)</f>
        <v>Downtown</v>
      </c>
      <c r="C1935" s="2">
        <v>44370</v>
      </c>
      <c r="D1935" s="3">
        <v>1132.4000000000001</v>
      </c>
    </row>
    <row r="1936" spans="1:4" ht="14.7" hidden="1" thickBot="1" x14ac:dyDescent="0.6">
      <c r="A1936" s="1" t="s">
        <v>19</v>
      </c>
      <c r="B1936" t="str">
        <f>VLOOKUP(A1936,'Area Breakdown'!$B$1:$C$33,2,)</f>
        <v>Downtown</v>
      </c>
      <c r="C1936" s="2">
        <v>44370</v>
      </c>
      <c r="D1936" s="3">
        <v>1127.2</v>
      </c>
    </row>
    <row r="1937" spans="1:4" ht="14.7" hidden="1" thickBot="1" x14ac:dyDescent="0.6">
      <c r="A1937" s="1" t="s">
        <v>25</v>
      </c>
      <c r="B1937" t="str">
        <f>VLOOKUP(A1937,'Area Breakdown'!$B$1:$C$33,2,)</f>
        <v>October</v>
      </c>
      <c r="C1937" s="2">
        <v>44370</v>
      </c>
      <c r="D1937" s="3">
        <v>1124.4000000000001</v>
      </c>
    </row>
    <row r="1938" spans="1:4" ht="14.7" hidden="1" thickBot="1" x14ac:dyDescent="0.6">
      <c r="A1938" s="1" t="s">
        <v>24</v>
      </c>
      <c r="B1938" t="str">
        <f>VLOOKUP(A1938,'Area Breakdown'!$B$1:$C$33,2,)</f>
        <v>October</v>
      </c>
      <c r="C1938" s="2">
        <v>44370</v>
      </c>
      <c r="D1938" s="3">
        <v>1071.2</v>
      </c>
    </row>
    <row r="1939" spans="1:4" ht="14.7" hidden="1" thickBot="1" x14ac:dyDescent="0.6">
      <c r="A1939" s="1" t="s">
        <v>20</v>
      </c>
      <c r="B1939" t="str">
        <f>VLOOKUP(A1939,'Area Breakdown'!$B$1:$C$33,2,)</f>
        <v>Downtown</v>
      </c>
      <c r="C1939" s="2">
        <v>44370</v>
      </c>
      <c r="D1939" s="3">
        <v>1012.8000000000001</v>
      </c>
    </row>
    <row r="1940" spans="1:4" ht="14.7" hidden="1" thickBot="1" x14ac:dyDescent="0.6">
      <c r="A1940" s="1" t="s">
        <v>21</v>
      </c>
      <c r="B1940" t="str">
        <f>VLOOKUP(A1940,'Area Breakdown'!$B$1:$C$33,2,)</f>
        <v>Heliopolis</v>
      </c>
      <c r="C1940" s="2">
        <v>44370</v>
      </c>
      <c r="D1940" s="3">
        <v>833.6</v>
      </c>
    </row>
    <row r="1941" spans="1:4" ht="14.7" hidden="1" thickBot="1" x14ac:dyDescent="0.6">
      <c r="A1941" s="1" t="s">
        <v>27</v>
      </c>
      <c r="B1941" t="str">
        <f>VLOOKUP(A1941,'Area Breakdown'!$B$1:$C$33,2,)</f>
        <v xml:space="preserve">Alexandria </v>
      </c>
      <c r="C1941" s="2">
        <v>44370</v>
      </c>
      <c r="D1941" s="3">
        <v>798</v>
      </c>
    </row>
    <row r="1942" spans="1:4" ht="14.7" hidden="1" thickBot="1" x14ac:dyDescent="0.6">
      <c r="A1942" s="1" t="s">
        <v>11</v>
      </c>
      <c r="B1942" t="str">
        <f>VLOOKUP(A1942,'Area Breakdown'!$B$1:$C$33,2,)</f>
        <v>New Cairo</v>
      </c>
      <c r="C1942" s="2">
        <v>44370</v>
      </c>
      <c r="D1942" s="3">
        <v>776.80000000000007</v>
      </c>
    </row>
    <row r="1943" spans="1:4" ht="14.7" hidden="1" thickBot="1" x14ac:dyDescent="0.6">
      <c r="A1943" s="1" t="s">
        <v>3</v>
      </c>
      <c r="B1943" t="str">
        <f>VLOOKUP(A1943,'Area Breakdown'!$B$1:$C$33,2,)</f>
        <v>Downtown</v>
      </c>
      <c r="C1943" s="2">
        <v>44370</v>
      </c>
      <c r="D1943" s="3">
        <v>634.40000000000009</v>
      </c>
    </row>
    <row r="1944" spans="1:4" ht="14.7" hidden="1" thickBot="1" x14ac:dyDescent="0.6">
      <c r="A1944" s="1" t="s">
        <v>13</v>
      </c>
      <c r="B1944" t="str">
        <f>VLOOKUP(A1944,'Area Breakdown'!$B$1:$C$33,2,)</f>
        <v>Heliopolis</v>
      </c>
      <c r="C1944" s="2">
        <v>44370</v>
      </c>
      <c r="D1944" s="3">
        <v>617.6</v>
      </c>
    </row>
    <row r="1945" spans="1:4" ht="14.7" hidden="1" thickBot="1" x14ac:dyDescent="0.6">
      <c r="A1945" s="1" t="s">
        <v>10</v>
      </c>
      <c r="B1945" t="str">
        <f>VLOOKUP(A1945,'Area Breakdown'!$B$1:$C$33,2,)</f>
        <v xml:space="preserve">Alexandria </v>
      </c>
      <c r="C1945" s="2">
        <v>44370</v>
      </c>
      <c r="D1945" s="3">
        <v>565.6</v>
      </c>
    </row>
    <row r="1946" spans="1:4" ht="14.7" hidden="1" thickBot="1" x14ac:dyDescent="0.6">
      <c r="A1946" s="1" t="s">
        <v>9</v>
      </c>
      <c r="B1946" t="str">
        <f>VLOOKUP(A1946,'Area Breakdown'!$B$1:$C$33,2,)</f>
        <v xml:space="preserve">Alexandria </v>
      </c>
      <c r="C1946" s="2">
        <v>44370</v>
      </c>
      <c r="D1946" s="3">
        <v>535.6</v>
      </c>
    </row>
    <row r="1947" spans="1:4" ht="14.7" hidden="1" thickBot="1" x14ac:dyDescent="0.6">
      <c r="A1947" s="1" t="s">
        <v>15</v>
      </c>
      <c r="B1947" t="str">
        <f>VLOOKUP(A1947,'Area Breakdown'!$B$1:$C$33,2,)</f>
        <v>Heliopolis</v>
      </c>
      <c r="C1947" s="2">
        <v>44370</v>
      </c>
      <c r="D1947" s="3">
        <v>531.6</v>
      </c>
    </row>
    <row r="1948" spans="1:4" ht="14.7" hidden="1" thickBot="1" x14ac:dyDescent="0.6">
      <c r="A1948" s="1" t="s">
        <v>4</v>
      </c>
      <c r="B1948" t="str">
        <f>VLOOKUP(A1948,'Area Breakdown'!$B$1:$C$33,2,)</f>
        <v>Downtown</v>
      </c>
      <c r="C1948" s="2">
        <v>44370</v>
      </c>
      <c r="D1948" s="3">
        <v>498.8</v>
      </c>
    </row>
    <row r="1949" spans="1:4" ht="14.7" hidden="1" thickBot="1" x14ac:dyDescent="0.6">
      <c r="A1949" s="1" t="s">
        <v>7</v>
      </c>
      <c r="B1949" t="str">
        <f>VLOOKUP(A1949,'Area Breakdown'!$B$1:$C$33,2,)</f>
        <v>October</v>
      </c>
      <c r="C1949" s="2">
        <v>44370</v>
      </c>
      <c r="D1949" s="3">
        <v>481.20000000000005</v>
      </c>
    </row>
    <row r="1950" spans="1:4" ht="14.7" hidden="1" thickBot="1" x14ac:dyDescent="0.6">
      <c r="A1950" s="1" t="s">
        <v>17</v>
      </c>
      <c r="B1950" t="str">
        <f>VLOOKUP(A1950,'Area Breakdown'!$B$1:$C$33,2,)</f>
        <v>Heliopolis</v>
      </c>
      <c r="C1950" s="2">
        <v>44370</v>
      </c>
      <c r="D1950" s="3">
        <v>479.6</v>
      </c>
    </row>
    <row r="1951" spans="1:4" ht="14.7" hidden="1" thickBot="1" x14ac:dyDescent="0.6">
      <c r="A1951" s="1" t="s">
        <v>16</v>
      </c>
      <c r="B1951" t="str">
        <f>VLOOKUP(A1951,'Area Breakdown'!$B$1:$C$33,2,)</f>
        <v>Downtown</v>
      </c>
      <c r="C1951" s="2">
        <v>44370</v>
      </c>
      <c r="D1951" s="3">
        <v>471.6</v>
      </c>
    </row>
    <row r="1952" spans="1:4" ht="14.7" hidden="1" thickBot="1" x14ac:dyDescent="0.6">
      <c r="A1952" s="1" t="s">
        <v>8</v>
      </c>
      <c r="B1952" t="str">
        <f>VLOOKUP(A1952,'Area Breakdown'!$B$1:$C$33,2,)</f>
        <v>Heliopolis</v>
      </c>
      <c r="C1952" s="2">
        <v>44370</v>
      </c>
      <c r="D1952" s="3">
        <v>441.20000000000005</v>
      </c>
    </row>
    <row r="1953" spans="1:4" ht="14.7" hidden="1" thickBot="1" x14ac:dyDescent="0.6">
      <c r="A1953" s="1" t="s">
        <v>23</v>
      </c>
      <c r="B1953" t="str">
        <f>VLOOKUP(A1953,'Area Breakdown'!$B$1:$C$33,2,)</f>
        <v>Heliopolis</v>
      </c>
      <c r="C1953" s="2">
        <v>44370</v>
      </c>
      <c r="D1953" s="3">
        <v>321.60000000000002</v>
      </c>
    </row>
    <row r="1954" spans="1:4" ht="14.7" hidden="1" thickBot="1" x14ac:dyDescent="0.6">
      <c r="A1954" s="1" t="s">
        <v>6</v>
      </c>
      <c r="B1954" t="str">
        <f>VLOOKUP(A1954,'Area Breakdown'!$B$1:$C$33,2,)</f>
        <v xml:space="preserve">Alexandria </v>
      </c>
      <c r="C1954" s="2">
        <v>44370</v>
      </c>
      <c r="D1954" s="3">
        <v>291.2</v>
      </c>
    </row>
    <row r="1955" spans="1:4" ht="14.7" hidden="1" thickBot="1" x14ac:dyDescent="0.6">
      <c r="A1955" s="1" t="s">
        <v>1</v>
      </c>
      <c r="B1955" t="str">
        <f>VLOOKUP(A1955,'Area Breakdown'!$B$1:$C$33,2,)</f>
        <v>Downtown</v>
      </c>
      <c r="C1955" s="2">
        <v>44370</v>
      </c>
      <c r="D1955" s="3">
        <v>1304.8000000000002</v>
      </c>
    </row>
    <row r="1956" spans="1:4" ht="14.7" hidden="1" thickBot="1" x14ac:dyDescent="0.6">
      <c r="A1956" s="1" t="s">
        <v>0</v>
      </c>
      <c r="B1956" t="str">
        <f>VLOOKUP(A1956,'Area Breakdown'!$B$1:$C$33,2,)</f>
        <v>Downtown</v>
      </c>
      <c r="C1956" s="2">
        <v>44370</v>
      </c>
      <c r="D1956" s="3">
        <v>1765.2</v>
      </c>
    </row>
    <row r="1957" spans="1:4" ht="14.7" hidden="1" thickBot="1" x14ac:dyDescent="0.6">
      <c r="A1957" s="1" t="s">
        <v>22</v>
      </c>
      <c r="B1957" t="str">
        <f>VLOOKUP(A1957,'Area Breakdown'!$B$1:$C$33,2,)</f>
        <v>Heliopolis</v>
      </c>
      <c r="C1957" s="2">
        <v>44371</v>
      </c>
      <c r="D1957" s="3">
        <v>1486</v>
      </c>
    </row>
    <row r="1958" spans="1:4" ht="14.7" hidden="1" thickBot="1" x14ac:dyDescent="0.6">
      <c r="A1958" s="1" t="s">
        <v>25</v>
      </c>
      <c r="B1958" t="str">
        <f>VLOOKUP(A1958,'Area Breakdown'!$B$1:$C$33,2,)</f>
        <v>October</v>
      </c>
      <c r="C1958" s="2">
        <v>44371</v>
      </c>
      <c r="D1958" s="3">
        <v>1267.6000000000001</v>
      </c>
    </row>
    <row r="1959" spans="1:4" ht="14.7" hidden="1" thickBot="1" x14ac:dyDescent="0.6">
      <c r="A1959" s="1" t="s">
        <v>1</v>
      </c>
      <c r="B1959" t="str">
        <f>VLOOKUP(A1959,'Area Breakdown'!$B$1:$C$33,2,)</f>
        <v>Downtown</v>
      </c>
      <c r="C1959" s="2">
        <v>44371</v>
      </c>
      <c r="D1959" s="3">
        <v>1220.4000000000001</v>
      </c>
    </row>
    <row r="1960" spans="1:4" ht="14.7" hidden="1" thickBot="1" x14ac:dyDescent="0.6">
      <c r="A1960" s="1" t="s">
        <v>2</v>
      </c>
      <c r="B1960" t="str">
        <f>VLOOKUP(A1960,'Area Breakdown'!$B$1:$C$33,2,)</f>
        <v>Downtown</v>
      </c>
      <c r="C1960" s="2">
        <v>44371</v>
      </c>
      <c r="D1960" s="3">
        <v>1068</v>
      </c>
    </row>
    <row r="1961" spans="1:4" ht="14.7" hidden="1" thickBot="1" x14ac:dyDescent="0.6">
      <c r="A1961" s="1" t="s">
        <v>21</v>
      </c>
      <c r="B1961" t="str">
        <f>VLOOKUP(A1961,'Area Breakdown'!$B$1:$C$33,2,)</f>
        <v>Heliopolis</v>
      </c>
      <c r="C1961" s="2">
        <v>44371</v>
      </c>
      <c r="D1961" s="3">
        <v>1044.4000000000001</v>
      </c>
    </row>
    <row r="1962" spans="1:4" ht="14.7" hidden="1" thickBot="1" x14ac:dyDescent="0.6">
      <c r="A1962" s="1" t="s">
        <v>20</v>
      </c>
      <c r="B1962" t="str">
        <f>VLOOKUP(A1962,'Area Breakdown'!$B$1:$C$33,2,)</f>
        <v>Downtown</v>
      </c>
      <c r="C1962" s="2">
        <v>44371</v>
      </c>
      <c r="D1962" s="3">
        <v>1012</v>
      </c>
    </row>
    <row r="1963" spans="1:4" ht="14.7" hidden="1" thickBot="1" x14ac:dyDescent="0.6">
      <c r="A1963" s="1" t="s">
        <v>17</v>
      </c>
      <c r="B1963" t="str">
        <f>VLOOKUP(A1963,'Area Breakdown'!$B$1:$C$33,2,)</f>
        <v>Heliopolis</v>
      </c>
      <c r="C1963" s="2">
        <v>44371</v>
      </c>
      <c r="D1963" s="3">
        <v>965.2</v>
      </c>
    </row>
    <row r="1964" spans="1:4" ht="14.7" hidden="1" thickBot="1" x14ac:dyDescent="0.6">
      <c r="A1964" s="1" t="s">
        <v>11</v>
      </c>
      <c r="B1964" t="str">
        <f>VLOOKUP(A1964,'Area Breakdown'!$B$1:$C$33,2,)</f>
        <v>New Cairo</v>
      </c>
      <c r="C1964" s="2">
        <v>44371</v>
      </c>
      <c r="D1964" s="3">
        <v>924.40000000000009</v>
      </c>
    </row>
    <row r="1965" spans="1:4" ht="14.7" hidden="1" thickBot="1" x14ac:dyDescent="0.6">
      <c r="A1965" s="1" t="s">
        <v>27</v>
      </c>
      <c r="B1965" t="str">
        <f>VLOOKUP(A1965,'Area Breakdown'!$B$1:$C$33,2,)</f>
        <v xml:space="preserve">Alexandria </v>
      </c>
      <c r="C1965" s="2">
        <v>44371</v>
      </c>
      <c r="D1965" s="3">
        <v>846.80000000000007</v>
      </c>
    </row>
    <row r="1966" spans="1:4" ht="14.7" hidden="1" thickBot="1" x14ac:dyDescent="0.6">
      <c r="A1966" s="1" t="s">
        <v>9</v>
      </c>
      <c r="B1966" t="str">
        <f>VLOOKUP(A1966,'Area Breakdown'!$B$1:$C$33,2,)</f>
        <v xml:space="preserve">Alexandria </v>
      </c>
      <c r="C1966" s="2">
        <v>44371</v>
      </c>
      <c r="D1966" s="3">
        <v>842.80000000000007</v>
      </c>
    </row>
    <row r="1967" spans="1:4" ht="14.7" hidden="1" thickBot="1" x14ac:dyDescent="0.6">
      <c r="A1967" s="1" t="s">
        <v>3</v>
      </c>
      <c r="B1967" t="str">
        <f>VLOOKUP(A1967,'Area Breakdown'!$B$1:$C$33,2,)</f>
        <v>Downtown</v>
      </c>
      <c r="C1967" s="2">
        <v>44371</v>
      </c>
      <c r="D1967" s="3">
        <v>837.6</v>
      </c>
    </row>
    <row r="1968" spans="1:4" ht="14.7" hidden="1" thickBot="1" x14ac:dyDescent="0.6">
      <c r="A1968" s="1" t="s">
        <v>8</v>
      </c>
      <c r="B1968" t="str">
        <f>VLOOKUP(A1968,'Area Breakdown'!$B$1:$C$33,2,)</f>
        <v>Heliopolis</v>
      </c>
      <c r="C1968" s="2">
        <v>44371</v>
      </c>
      <c r="D1968" s="3">
        <v>785.2</v>
      </c>
    </row>
    <row r="1969" spans="1:4" ht="14.7" hidden="1" thickBot="1" x14ac:dyDescent="0.6">
      <c r="A1969" s="1" t="s">
        <v>13</v>
      </c>
      <c r="B1969" t="str">
        <f>VLOOKUP(A1969,'Area Breakdown'!$B$1:$C$33,2,)</f>
        <v>Heliopolis</v>
      </c>
      <c r="C1969" s="2">
        <v>44371</v>
      </c>
      <c r="D1969" s="3">
        <v>728.80000000000007</v>
      </c>
    </row>
    <row r="1970" spans="1:4" ht="14.7" hidden="1" thickBot="1" x14ac:dyDescent="0.6">
      <c r="A1970" s="1" t="s">
        <v>15</v>
      </c>
      <c r="B1970" t="str">
        <f>VLOOKUP(A1970,'Area Breakdown'!$B$1:$C$33,2,)</f>
        <v>Heliopolis</v>
      </c>
      <c r="C1970" s="2">
        <v>44371</v>
      </c>
      <c r="D1970" s="3">
        <v>522</v>
      </c>
    </row>
    <row r="1971" spans="1:4" ht="14.7" hidden="1" thickBot="1" x14ac:dyDescent="0.6">
      <c r="A1971" s="1" t="s">
        <v>6</v>
      </c>
      <c r="B1971" t="str">
        <f>VLOOKUP(A1971,'Area Breakdown'!$B$1:$C$33,2,)</f>
        <v xml:space="preserve">Alexandria </v>
      </c>
      <c r="C1971" s="2">
        <v>44371</v>
      </c>
      <c r="D1971" s="3">
        <v>509.6</v>
      </c>
    </row>
    <row r="1972" spans="1:4" ht="14.7" hidden="1" thickBot="1" x14ac:dyDescent="0.6">
      <c r="A1972" s="1" t="s">
        <v>7</v>
      </c>
      <c r="B1972" t="str">
        <f>VLOOKUP(A1972,'Area Breakdown'!$B$1:$C$33,2,)</f>
        <v>October</v>
      </c>
      <c r="C1972" s="2">
        <v>44371</v>
      </c>
      <c r="D1972" s="3">
        <v>507.20000000000005</v>
      </c>
    </row>
    <row r="1973" spans="1:4" ht="14.7" hidden="1" thickBot="1" x14ac:dyDescent="0.6">
      <c r="A1973" s="1" t="s">
        <v>10</v>
      </c>
      <c r="B1973" t="str">
        <f>VLOOKUP(A1973,'Area Breakdown'!$B$1:$C$33,2,)</f>
        <v xml:space="preserve">Alexandria </v>
      </c>
      <c r="C1973" s="2">
        <v>44371</v>
      </c>
      <c r="D1973" s="3">
        <v>485.20000000000005</v>
      </c>
    </row>
    <row r="1974" spans="1:4" ht="14.7" hidden="1" thickBot="1" x14ac:dyDescent="0.6">
      <c r="A1974" s="1" t="s">
        <v>4</v>
      </c>
      <c r="B1974" t="str">
        <f>VLOOKUP(A1974,'Area Breakdown'!$B$1:$C$33,2,)</f>
        <v>Downtown</v>
      </c>
      <c r="C1974" s="2">
        <v>44371</v>
      </c>
      <c r="D1974" s="3">
        <v>443.6</v>
      </c>
    </row>
    <row r="1975" spans="1:4" ht="14.7" hidden="1" thickBot="1" x14ac:dyDescent="0.6">
      <c r="A1975" s="1" t="s">
        <v>16</v>
      </c>
      <c r="B1975" t="str">
        <f>VLOOKUP(A1975,'Area Breakdown'!$B$1:$C$33,2,)</f>
        <v>Downtown</v>
      </c>
      <c r="C1975" s="2">
        <v>44371</v>
      </c>
      <c r="D1975" s="3">
        <v>387.6</v>
      </c>
    </row>
    <row r="1976" spans="1:4" ht="14.7" hidden="1" thickBot="1" x14ac:dyDescent="0.6">
      <c r="A1976" s="1" t="s">
        <v>23</v>
      </c>
      <c r="B1976" t="str">
        <f>VLOOKUP(A1976,'Area Breakdown'!$B$1:$C$33,2,)</f>
        <v>Heliopolis</v>
      </c>
      <c r="C1976" s="2">
        <v>44371</v>
      </c>
      <c r="D1976" s="3">
        <v>383.6</v>
      </c>
    </row>
    <row r="1977" spans="1:4" ht="14.7" hidden="1" thickBot="1" x14ac:dyDescent="0.6">
      <c r="A1977" s="1" t="s">
        <v>0</v>
      </c>
      <c r="B1977" t="str">
        <f>VLOOKUP(A1977,'Area Breakdown'!$B$1:$C$33,2,)</f>
        <v>Downtown</v>
      </c>
      <c r="C1977" s="2">
        <v>44371</v>
      </c>
      <c r="D1977" s="3">
        <v>1921.6000000000001</v>
      </c>
    </row>
    <row r="1978" spans="1:4" ht="14.7" hidden="1" thickBot="1" x14ac:dyDescent="0.6">
      <c r="A1978" s="1" t="s">
        <v>12</v>
      </c>
      <c r="B1978" t="str">
        <f>VLOOKUP(A1978,'Area Breakdown'!$B$1:$C$33,2,)</f>
        <v>New Cairo</v>
      </c>
      <c r="C1978" s="2">
        <v>44371</v>
      </c>
      <c r="D1978" s="3">
        <v>1916.8000000000002</v>
      </c>
    </row>
    <row r="1979" spans="1:4" ht="14.7" hidden="1" thickBot="1" x14ac:dyDescent="0.6">
      <c r="A1979" s="1" t="s">
        <v>19</v>
      </c>
      <c r="B1979" t="str">
        <f>VLOOKUP(A1979,'Area Breakdown'!$B$1:$C$33,2,)</f>
        <v>Downtown</v>
      </c>
      <c r="C1979" s="2">
        <v>44371</v>
      </c>
      <c r="D1979" s="3">
        <v>1297.6000000000001</v>
      </c>
    </row>
    <row r="1980" spans="1:4" ht="14.7" hidden="1" thickBot="1" x14ac:dyDescent="0.6">
      <c r="A1980" s="1" t="s">
        <v>24</v>
      </c>
      <c r="B1980" t="str">
        <f>VLOOKUP(A1980,'Area Breakdown'!$B$1:$C$33,2,)</f>
        <v>October</v>
      </c>
      <c r="C1980" s="2">
        <v>44371</v>
      </c>
      <c r="D1980" s="3">
        <v>1688.4</v>
      </c>
    </row>
    <row r="1981" spans="1:4" ht="14.7" hidden="1" thickBot="1" x14ac:dyDescent="0.6">
      <c r="A1981" s="1" t="s">
        <v>24</v>
      </c>
      <c r="B1981" t="str">
        <f>VLOOKUP(A1981,'Area Breakdown'!$B$1:$C$33,2,)</f>
        <v>October</v>
      </c>
      <c r="C1981" s="2">
        <v>44372</v>
      </c>
      <c r="D1981" s="3">
        <v>1251.2</v>
      </c>
    </row>
    <row r="1982" spans="1:4" ht="14.7" hidden="1" thickBot="1" x14ac:dyDescent="0.6">
      <c r="A1982" s="1" t="s">
        <v>22</v>
      </c>
      <c r="B1982" t="str">
        <f>VLOOKUP(A1982,'Area Breakdown'!$B$1:$C$33,2,)</f>
        <v>Heliopolis</v>
      </c>
      <c r="C1982" s="2">
        <v>44372</v>
      </c>
      <c r="D1982" s="3">
        <v>1050.8</v>
      </c>
    </row>
    <row r="1983" spans="1:4" ht="14.7" hidden="1" thickBot="1" x14ac:dyDescent="0.6">
      <c r="A1983" s="1" t="s">
        <v>16</v>
      </c>
      <c r="B1983" t="str">
        <f>VLOOKUP(A1983,'Area Breakdown'!$B$1:$C$33,2,)</f>
        <v>Downtown</v>
      </c>
      <c r="C1983" s="2">
        <v>44372</v>
      </c>
      <c r="D1983" s="3">
        <v>874</v>
      </c>
    </row>
    <row r="1984" spans="1:4" ht="14.7" hidden="1" thickBot="1" x14ac:dyDescent="0.6">
      <c r="A1984" s="1" t="s">
        <v>25</v>
      </c>
      <c r="B1984" t="str">
        <f>VLOOKUP(A1984,'Area Breakdown'!$B$1:$C$33,2,)</f>
        <v>October</v>
      </c>
      <c r="C1984" s="2">
        <v>44372</v>
      </c>
      <c r="D1984" s="3">
        <v>844.80000000000007</v>
      </c>
    </row>
    <row r="1985" spans="1:4" ht="14.7" hidden="1" thickBot="1" x14ac:dyDescent="0.6">
      <c r="A1985" s="1" t="s">
        <v>3</v>
      </c>
      <c r="B1985" t="str">
        <f>VLOOKUP(A1985,'Area Breakdown'!$B$1:$C$33,2,)</f>
        <v>Downtown</v>
      </c>
      <c r="C1985" s="2">
        <v>44372</v>
      </c>
      <c r="D1985" s="3">
        <v>822.80000000000007</v>
      </c>
    </row>
    <row r="1986" spans="1:4" ht="14.7" hidden="1" thickBot="1" x14ac:dyDescent="0.6">
      <c r="A1986" s="1" t="s">
        <v>15</v>
      </c>
      <c r="B1986" t="str">
        <f>VLOOKUP(A1986,'Area Breakdown'!$B$1:$C$33,2,)</f>
        <v>Heliopolis</v>
      </c>
      <c r="C1986" s="2">
        <v>44372</v>
      </c>
      <c r="D1986" s="3">
        <v>818</v>
      </c>
    </row>
    <row r="1987" spans="1:4" ht="14.7" hidden="1" thickBot="1" x14ac:dyDescent="0.6">
      <c r="A1987" s="1" t="s">
        <v>20</v>
      </c>
      <c r="B1987" t="str">
        <f>VLOOKUP(A1987,'Area Breakdown'!$B$1:$C$33,2,)</f>
        <v>Downtown</v>
      </c>
      <c r="C1987" s="2">
        <v>44372</v>
      </c>
      <c r="D1987" s="3">
        <v>796.40000000000009</v>
      </c>
    </row>
    <row r="1988" spans="1:4" ht="14.7" hidden="1" thickBot="1" x14ac:dyDescent="0.6">
      <c r="A1988" s="1" t="s">
        <v>1</v>
      </c>
      <c r="B1988" t="str">
        <f>VLOOKUP(A1988,'Area Breakdown'!$B$1:$C$33,2,)</f>
        <v>Downtown</v>
      </c>
      <c r="C1988" s="2">
        <v>44372</v>
      </c>
      <c r="D1988" s="3">
        <v>756.40000000000009</v>
      </c>
    </row>
    <row r="1989" spans="1:4" ht="14.7" hidden="1" thickBot="1" x14ac:dyDescent="0.6">
      <c r="A1989" s="1" t="s">
        <v>12</v>
      </c>
      <c r="B1989" t="str">
        <f>VLOOKUP(A1989,'Area Breakdown'!$B$1:$C$33,2,)</f>
        <v>New Cairo</v>
      </c>
      <c r="C1989" s="2">
        <v>44372</v>
      </c>
      <c r="D1989" s="3">
        <v>724.40000000000009</v>
      </c>
    </row>
    <row r="1990" spans="1:4" ht="14.7" hidden="1" thickBot="1" x14ac:dyDescent="0.6">
      <c r="A1990" s="1" t="s">
        <v>27</v>
      </c>
      <c r="B1990" t="str">
        <f>VLOOKUP(A1990,'Area Breakdown'!$B$1:$C$33,2,)</f>
        <v xml:space="preserve">Alexandria </v>
      </c>
      <c r="C1990" s="2">
        <v>44372</v>
      </c>
      <c r="D1990" s="3">
        <v>665.6</v>
      </c>
    </row>
    <row r="1991" spans="1:4" ht="14.7" hidden="1" thickBot="1" x14ac:dyDescent="0.6">
      <c r="A1991" s="1" t="s">
        <v>10</v>
      </c>
      <c r="B1991" t="str">
        <f>VLOOKUP(A1991,'Area Breakdown'!$B$1:$C$33,2,)</f>
        <v xml:space="preserve">Alexandria </v>
      </c>
      <c r="C1991" s="2">
        <v>44372</v>
      </c>
      <c r="D1991" s="3">
        <v>536.4</v>
      </c>
    </row>
    <row r="1992" spans="1:4" ht="14.7" hidden="1" thickBot="1" x14ac:dyDescent="0.6">
      <c r="A1992" s="1" t="s">
        <v>11</v>
      </c>
      <c r="B1992" t="str">
        <f>VLOOKUP(A1992,'Area Breakdown'!$B$1:$C$33,2,)</f>
        <v>New Cairo</v>
      </c>
      <c r="C1992" s="2">
        <v>44372</v>
      </c>
      <c r="D1992" s="3">
        <v>491.20000000000005</v>
      </c>
    </row>
    <row r="1993" spans="1:4" ht="14.7" hidden="1" thickBot="1" x14ac:dyDescent="0.6">
      <c r="A1993" s="1" t="s">
        <v>9</v>
      </c>
      <c r="B1993" t="str">
        <f>VLOOKUP(A1993,'Area Breakdown'!$B$1:$C$33,2,)</f>
        <v xml:space="preserve">Alexandria </v>
      </c>
      <c r="C1993" s="2">
        <v>44372</v>
      </c>
      <c r="D1993" s="3">
        <v>490</v>
      </c>
    </row>
    <row r="1994" spans="1:4" ht="14.7" hidden="1" thickBot="1" x14ac:dyDescent="0.6">
      <c r="A1994" s="1" t="s">
        <v>7</v>
      </c>
      <c r="B1994" t="str">
        <f>VLOOKUP(A1994,'Area Breakdown'!$B$1:$C$33,2,)</f>
        <v>October</v>
      </c>
      <c r="C1994" s="2">
        <v>44372</v>
      </c>
      <c r="D1994" s="3">
        <v>487.20000000000005</v>
      </c>
    </row>
    <row r="1995" spans="1:4" ht="14.7" hidden="1" thickBot="1" x14ac:dyDescent="0.6">
      <c r="A1995" s="1" t="s">
        <v>2</v>
      </c>
      <c r="B1995" t="str">
        <f>VLOOKUP(A1995,'Area Breakdown'!$B$1:$C$33,2,)</f>
        <v>Downtown</v>
      </c>
      <c r="C1995" s="2">
        <v>44372</v>
      </c>
      <c r="D1995" s="3">
        <v>467.20000000000005</v>
      </c>
    </row>
    <row r="1996" spans="1:4" ht="14.7" hidden="1" thickBot="1" x14ac:dyDescent="0.6">
      <c r="A1996" s="1" t="s">
        <v>17</v>
      </c>
      <c r="B1996" t="str">
        <f>VLOOKUP(A1996,'Area Breakdown'!$B$1:$C$33,2,)</f>
        <v>Heliopolis</v>
      </c>
      <c r="C1996" s="2">
        <v>44372</v>
      </c>
      <c r="D1996" s="3">
        <v>411.20000000000005</v>
      </c>
    </row>
    <row r="1997" spans="1:4" ht="14.7" hidden="1" thickBot="1" x14ac:dyDescent="0.6">
      <c r="A1997" s="1" t="s">
        <v>6</v>
      </c>
      <c r="B1997" t="str">
        <f>VLOOKUP(A1997,'Area Breakdown'!$B$1:$C$33,2,)</f>
        <v xml:space="preserve">Alexandria </v>
      </c>
      <c r="C1997" s="2">
        <v>44372</v>
      </c>
      <c r="D1997" s="3">
        <v>386.8</v>
      </c>
    </row>
    <row r="1998" spans="1:4" ht="14.7" hidden="1" thickBot="1" x14ac:dyDescent="0.6">
      <c r="A1998" s="1" t="s">
        <v>19</v>
      </c>
      <c r="B1998" t="str">
        <f>VLOOKUP(A1998,'Area Breakdown'!$B$1:$C$33,2,)</f>
        <v>Downtown</v>
      </c>
      <c r="C1998" s="2">
        <v>44372</v>
      </c>
      <c r="D1998" s="3">
        <v>366.40000000000003</v>
      </c>
    </row>
    <row r="1999" spans="1:4" ht="14.7" hidden="1" thickBot="1" x14ac:dyDescent="0.6">
      <c r="A1999" s="1" t="s">
        <v>0</v>
      </c>
      <c r="B1999" t="str">
        <f>VLOOKUP(A1999,'Area Breakdown'!$B$1:$C$33,2,)</f>
        <v>Downtown</v>
      </c>
      <c r="C1999" s="2">
        <v>44372</v>
      </c>
      <c r="D1999" s="3">
        <v>361.6</v>
      </c>
    </row>
    <row r="2000" spans="1:4" ht="14.7" hidden="1" thickBot="1" x14ac:dyDescent="0.6">
      <c r="A2000" s="1" t="s">
        <v>13</v>
      </c>
      <c r="B2000" t="str">
        <f>VLOOKUP(A2000,'Area Breakdown'!$B$1:$C$33,2,)</f>
        <v>Heliopolis</v>
      </c>
      <c r="C2000" s="2">
        <v>44372</v>
      </c>
      <c r="D2000" s="3">
        <v>248.8</v>
      </c>
    </row>
    <row r="2001" spans="1:4" ht="14.7" hidden="1" thickBot="1" x14ac:dyDescent="0.6">
      <c r="A2001" s="1" t="s">
        <v>4</v>
      </c>
      <c r="B2001" t="str">
        <f>VLOOKUP(A2001,'Area Breakdown'!$B$1:$C$33,2,)</f>
        <v>Downtown</v>
      </c>
      <c r="C2001" s="2">
        <v>44372</v>
      </c>
      <c r="D2001" s="3">
        <v>237.60000000000002</v>
      </c>
    </row>
    <row r="2002" spans="1:4" ht="14.7" hidden="1" thickBot="1" x14ac:dyDescent="0.6">
      <c r="A2002" s="1" t="s">
        <v>23</v>
      </c>
      <c r="B2002" t="str">
        <f>VLOOKUP(A2002,'Area Breakdown'!$B$1:$C$33,2,)</f>
        <v>Heliopolis</v>
      </c>
      <c r="C2002" s="2">
        <v>44372</v>
      </c>
      <c r="D2002" s="3">
        <v>226.8</v>
      </c>
    </row>
    <row r="2003" spans="1:4" ht="14.7" hidden="1" thickBot="1" x14ac:dyDescent="0.6">
      <c r="A2003" s="1" t="s">
        <v>8</v>
      </c>
      <c r="B2003" t="str">
        <f>VLOOKUP(A2003,'Area Breakdown'!$B$1:$C$33,2,)</f>
        <v>Heliopolis</v>
      </c>
      <c r="C2003" s="2">
        <v>44372</v>
      </c>
      <c r="D2003" s="3">
        <v>152.80000000000001</v>
      </c>
    </row>
    <row r="2004" spans="1:4" ht="14.7" hidden="1" thickBot="1" x14ac:dyDescent="0.6">
      <c r="A2004" s="1" t="s">
        <v>21</v>
      </c>
      <c r="B2004" t="str">
        <f>VLOOKUP(A2004,'Area Breakdown'!$B$1:$C$33,2,)</f>
        <v>Heliopolis</v>
      </c>
      <c r="C2004" s="2">
        <v>44372</v>
      </c>
      <c r="D2004" s="3">
        <v>1306.8000000000002</v>
      </c>
    </row>
    <row r="2005" spans="1:4" ht="14.7" hidden="1" thickBot="1" x14ac:dyDescent="0.6">
      <c r="A2005" s="1" t="s">
        <v>22</v>
      </c>
      <c r="B2005" t="str">
        <f>VLOOKUP(A2005,'Area Breakdown'!$B$1:$C$33,2,)</f>
        <v>Heliopolis</v>
      </c>
      <c r="C2005" s="2">
        <v>44373</v>
      </c>
      <c r="D2005" s="3">
        <v>1452.4</v>
      </c>
    </row>
    <row r="2006" spans="1:4" ht="14.7" hidden="1" thickBot="1" x14ac:dyDescent="0.6">
      <c r="A2006" s="1" t="s">
        <v>12</v>
      </c>
      <c r="B2006" t="str">
        <f>VLOOKUP(A2006,'Area Breakdown'!$B$1:$C$33,2,)</f>
        <v>New Cairo</v>
      </c>
      <c r="C2006" s="2">
        <v>44373</v>
      </c>
      <c r="D2006" s="3">
        <v>1268.4000000000001</v>
      </c>
    </row>
    <row r="2007" spans="1:4" ht="14.7" hidden="1" thickBot="1" x14ac:dyDescent="0.6">
      <c r="A2007" s="1" t="s">
        <v>19</v>
      </c>
      <c r="B2007" t="str">
        <f>VLOOKUP(A2007,'Area Breakdown'!$B$1:$C$33,2,)</f>
        <v>Downtown</v>
      </c>
      <c r="C2007" s="2">
        <v>44373</v>
      </c>
      <c r="D2007" s="3">
        <v>1224.8</v>
      </c>
    </row>
    <row r="2008" spans="1:4" ht="14.7" hidden="1" thickBot="1" x14ac:dyDescent="0.6">
      <c r="A2008" s="1" t="s">
        <v>25</v>
      </c>
      <c r="B2008" t="str">
        <f>VLOOKUP(A2008,'Area Breakdown'!$B$1:$C$33,2,)</f>
        <v>October</v>
      </c>
      <c r="C2008" s="2">
        <v>44373</v>
      </c>
      <c r="D2008" s="3">
        <v>1028</v>
      </c>
    </row>
    <row r="2009" spans="1:4" ht="14.7" hidden="1" thickBot="1" x14ac:dyDescent="0.6">
      <c r="A2009" s="1" t="s">
        <v>24</v>
      </c>
      <c r="B2009" t="str">
        <f>VLOOKUP(A2009,'Area Breakdown'!$B$1:$C$33,2,)</f>
        <v>October</v>
      </c>
      <c r="C2009" s="2">
        <v>44373</v>
      </c>
      <c r="D2009" s="3">
        <v>982.40000000000009</v>
      </c>
    </row>
    <row r="2010" spans="1:4" ht="14.7" hidden="1" thickBot="1" x14ac:dyDescent="0.6">
      <c r="A2010" s="1" t="s">
        <v>20</v>
      </c>
      <c r="B2010" t="str">
        <f>VLOOKUP(A2010,'Area Breakdown'!$B$1:$C$33,2,)</f>
        <v>Downtown</v>
      </c>
      <c r="C2010" s="2">
        <v>44373</v>
      </c>
      <c r="D2010" s="3">
        <v>975.2</v>
      </c>
    </row>
    <row r="2011" spans="1:4" ht="14.7" hidden="1" thickBot="1" x14ac:dyDescent="0.6">
      <c r="A2011" s="1" t="s">
        <v>0</v>
      </c>
      <c r="B2011" t="str">
        <f>VLOOKUP(A2011,'Area Breakdown'!$B$1:$C$33,2,)</f>
        <v>Downtown</v>
      </c>
      <c r="C2011" s="2">
        <v>44373</v>
      </c>
      <c r="D2011" s="3">
        <v>921.2</v>
      </c>
    </row>
    <row r="2012" spans="1:4" ht="14.7" hidden="1" thickBot="1" x14ac:dyDescent="0.6">
      <c r="A2012" s="1" t="s">
        <v>21</v>
      </c>
      <c r="B2012" t="str">
        <f>VLOOKUP(A2012,'Area Breakdown'!$B$1:$C$33,2,)</f>
        <v>Heliopolis</v>
      </c>
      <c r="C2012" s="2">
        <v>44373</v>
      </c>
      <c r="D2012" s="3">
        <v>890</v>
      </c>
    </row>
    <row r="2013" spans="1:4" ht="14.7" hidden="1" thickBot="1" x14ac:dyDescent="0.6">
      <c r="A2013" s="1" t="s">
        <v>16</v>
      </c>
      <c r="B2013" t="str">
        <f>VLOOKUP(A2013,'Area Breakdown'!$B$1:$C$33,2,)</f>
        <v>Downtown</v>
      </c>
      <c r="C2013" s="2">
        <v>44373</v>
      </c>
      <c r="D2013" s="3">
        <v>703.6</v>
      </c>
    </row>
    <row r="2014" spans="1:4" ht="14.7" hidden="1" thickBot="1" x14ac:dyDescent="0.6">
      <c r="A2014" s="1" t="s">
        <v>1</v>
      </c>
      <c r="B2014" t="str">
        <f>VLOOKUP(A2014,'Area Breakdown'!$B$1:$C$33,2,)</f>
        <v>Downtown</v>
      </c>
      <c r="C2014" s="2">
        <v>44373</v>
      </c>
      <c r="D2014" s="3">
        <v>700</v>
      </c>
    </row>
    <row r="2015" spans="1:4" ht="14.7" hidden="1" thickBot="1" x14ac:dyDescent="0.6">
      <c r="A2015" s="1" t="s">
        <v>27</v>
      </c>
      <c r="B2015" t="str">
        <f>VLOOKUP(A2015,'Area Breakdown'!$B$1:$C$33,2,)</f>
        <v xml:space="preserve">Alexandria </v>
      </c>
      <c r="C2015" s="2">
        <v>44373</v>
      </c>
      <c r="D2015" s="3">
        <v>630.80000000000007</v>
      </c>
    </row>
    <row r="2016" spans="1:4" ht="14.7" hidden="1" thickBot="1" x14ac:dyDescent="0.6">
      <c r="A2016" s="1" t="s">
        <v>9</v>
      </c>
      <c r="B2016" t="str">
        <f>VLOOKUP(A2016,'Area Breakdown'!$B$1:$C$33,2,)</f>
        <v xml:space="preserve">Alexandria </v>
      </c>
      <c r="C2016" s="2">
        <v>44373</v>
      </c>
      <c r="D2016" s="3">
        <v>553.6</v>
      </c>
    </row>
    <row r="2017" spans="1:4" ht="14.7" hidden="1" thickBot="1" x14ac:dyDescent="0.6">
      <c r="A2017" s="1" t="s">
        <v>15</v>
      </c>
      <c r="B2017" t="str">
        <f>VLOOKUP(A2017,'Area Breakdown'!$B$1:$C$33,2,)</f>
        <v>Heliopolis</v>
      </c>
      <c r="C2017" s="2">
        <v>44373</v>
      </c>
      <c r="D2017" s="3">
        <v>524.4</v>
      </c>
    </row>
    <row r="2018" spans="1:4" ht="14.7" hidden="1" thickBot="1" x14ac:dyDescent="0.6">
      <c r="A2018" s="1" t="s">
        <v>2</v>
      </c>
      <c r="B2018" t="str">
        <f>VLOOKUP(A2018,'Area Breakdown'!$B$1:$C$33,2,)</f>
        <v>Downtown</v>
      </c>
      <c r="C2018" s="2">
        <v>44373</v>
      </c>
      <c r="D2018" s="3">
        <v>513.6</v>
      </c>
    </row>
    <row r="2019" spans="1:4" ht="14.7" hidden="1" thickBot="1" x14ac:dyDescent="0.6">
      <c r="A2019" s="1" t="s">
        <v>6</v>
      </c>
      <c r="B2019" t="str">
        <f>VLOOKUP(A2019,'Area Breakdown'!$B$1:$C$33,2,)</f>
        <v xml:space="preserve">Alexandria </v>
      </c>
      <c r="C2019" s="2">
        <v>44373</v>
      </c>
      <c r="D2019" s="3">
        <v>492.8</v>
      </c>
    </row>
    <row r="2020" spans="1:4" ht="14.7" hidden="1" thickBot="1" x14ac:dyDescent="0.6">
      <c r="A2020" s="1" t="s">
        <v>11</v>
      </c>
      <c r="B2020" t="str">
        <f>VLOOKUP(A2020,'Area Breakdown'!$B$1:$C$33,2,)</f>
        <v>New Cairo</v>
      </c>
      <c r="C2020" s="2">
        <v>44373</v>
      </c>
      <c r="D2020" s="3">
        <v>476.8</v>
      </c>
    </row>
    <row r="2021" spans="1:4" ht="14.7" hidden="1" thickBot="1" x14ac:dyDescent="0.6">
      <c r="A2021" s="1" t="s">
        <v>17</v>
      </c>
      <c r="B2021" t="str">
        <f>VLOOKUP(A2021,'Area Breakdown'!$B$1:$C$33,2,)</f>
        <v>Heliopolis</v>
      </c>
      <c r="C2021" s="2">
        <v>44373</v>
      </c>
      <c r="D2021" s="3">
        <v>474.40000000000003</v>
      </c>
    </row>
    <row r="2022" spans="1:4" ht="14.7" hidden="1" thickBot="1" x14ac:dyDescent="0.6">
      <c r="A2022" s="1" t="s">
        <v>3</v>
      </c>
      <c r="B2022" t="str">
        <f>VLOOKUP(A2022,'Area Breakdown'!$B$1:$C$33,2,)</f>
        <v>Downtown</v>
      </c>
      <c r="C2022" s="2">
        <v>44373</v>
      </c>
      <c r="D2022" s="3">
        <v>456</v>
      </c>
    </row>
    <row r="2023" spans="1:4" ht="14.7" hidden="1" thickBot="1" x14ac:dyDescent="0.6">
      <c r="A2023" s="1" t="s">
        <v>10</v>
      </c>
      <c r="B2023" t="str">
        <f>VLOOKUP(A2023,'Area Breakdown'!$B$1:$C$33,2,)</f>
        <v xml:space="preserve">Alexandria </v>
      </c>
      <c r="C2023" s="2">
        <v>44373</v>
      </c>
      <c r="D2023" s="3">
        <v>418.40000000000003</v>
      </c>
    </row>
    <row r="2024" spans="1:4" ht="14.7" hidden="1" thickBot="1" x14ac:dyDescent="0.6">
      <c r="A2024" s="1" t="s">
        <v>8</v>
      </c>
      <c r="B2024" t="str">
        <f>VLOOKUP(A2024,'Area Breakdown'!$B$1:$C$33,2,)</f>
        <v>Heliopolis</v>
      </c>
      <c r="C2024" s="2">
        <v>44373</v>
      </c>
      <c r="D2024" s="3">
        <v>370</v>
      </c>
    </row>
    <row r="2025" spans="1:4" ht="14.7" hidden="1" thickBot="1" x14ac:dyDescent="0.6">
      <c r="A2025" s="1" t="s">
        <v>13</v>
      </c>
      <c r="B2025" t="str">
        <f>VLOOKUP(A2025,'Area Breakdown'!$B$1:$C$33,2,)</f>
        <v>Heliopolis</v>
      </c>
      <c r="C2025" s="2">
        <v>44373</v>
      </c>
      <c r="D2025" s="3">
        <v>363.6</v>
      </c>
    </row>
    <row r="2026" spans="1:4" ht="14.7" hidden="1" thickBot="1" x14ac:dyDescent="0.6">
      <c r="A2026" s="1" t="s">
        <v>23</v>
      </c>
      <c r="B2026" t="str">
        <f>VLOOKUP(A2026,'Area Breakdown'!$B$1:$C$33,2,)</f>
        <v>Heliopolis</v>
      </c>
      <c r="C2026" s="2">
        <v>44373</v>
      </c>
      <c r="D2026" s="3">
        <v>345.6</v>
      </c>
    </row>
    <row r="2027" spans="1:4" ht="14.7" hidden="1" thickBot="1" x14ac:dyDescent="0.6">
      <c r="A2027" s="1" t="s">
        <v>7</v>
      </c>
      <c r="B2027" t="str">
        <f>VLOOKUP(A2027,'Area Breakdown'!$B$1:$C$33,2,)</f>
        <v>October</v>
      </c>
      <c r="C2027" s="2">
        <v>44373</v>
      </c>
      <c r="D2027" s="3">
        <v>310.8</v>
      </c>
    </row>
    <row r="2028" spans="1:4" ht="14.7" hidden="1" thickBot="1" x14ac:dyDescent="0.6">
      <c r="A2028" s="1" t="s">
        <v>4</v>
      </c>
      <c r="B2028" t="str">
        <f>VLOOKUP(A2028,'Area Breakdown'!$B$1:$C$33,2,)</f>
        <v>Downtown</v>
      </c>
      <c r="C2028" s="2">
        <v>44373</v>
      </c>
      <c r="D2028" s="3">
        <v>303.2</v>
      </c>
    </row>
    <row r="2029" spans="1:4" ht="14.7" hidden="1" thickBot="1" x14ac:dyDescent="0.6">
      <c r="A2029" s="1" t="s">
        <v>24</v>
      </c>
      <c r="B2029" t="str">
        <f>VLOOKUP(A2029,'Area Breakdown'!$B$1:$C$33,2,)</f>
        <v>October</v>
      </c>
      <c r="C2029" s="2">
        <v>44374</v>
      </c>
      <c r="D2029" s="3">
        <v>1621.2</v>
      </c>
    </row>
    <row r="2030" spans="1:4" ht="14.7" hidden="1" thickBot="1" x14ac:dyDescent="0.6">
      <c r="A2030" s="1" t="s">
        <v>0</v>
      </c>
      <c r="B2030" t="str">
        <f>VLOOKUP(A2030,'Area Breakdown'!$B$1:$C$33,2,)</f>
        <v>Downtown</v>
      </c>
      <c r="C2030" s="2">
        <v>44374</v>
      </c>
      <c r="D2030" s="3">
        <v>1572.8000000000002</v>
      </c>
    </row>
    <row r="2031" spans="1:4" ht="14.7" hidden="1" thickBot="1" x14ac:dyDescent="0.6">
      <c r="A2031" s="1" t="s">
        <v>1</v>
      </c>
      <c r="B2031" t="str">
        <f>VLOOKUP(A2031,'Area Breakdown'!$B$1:$C$33,2,)</f>
        <v>Downtown</v>
      </c>
      <c r="C2031" s="2">
        <v>44374</v>
      </c>
      <c r="D2031" s="3">
        <v>1373.6000000000001</v>
      </c>
    </row>
    <row r="2032" spans="1:4" ht="14.7" hidden="1" thickBot="1" x14ac:dyDescent="0.6">
      <c r="A2032" s="1" t="s">
        <v>20</v>
      </c>
      <c r="B2032" t="str">
        <f>VLOOKUP(A2032,'Area Breakdown'!$B$1:$C$33,2,)</f>
        <v>Downtown</v>
      </c>
      <c r="C2032" s="2">
        <v>44374</v>
      </c>
      <c r="D2032" s="3">
        <v>1178.4000000000001</v>
      </c>
    </row>
    <row r="2033" spans="1:4" ht="14.7" hidden="1" thickBot="1" x14ac:dyDescent="0.6">
      <c r="A2033" s="1" t="s">
        <v>2</v>
      </c>
      <c r="B2033" t="str">
        <f>VLOOKUP(A2033,'Area Breakdown'!$B$1:$C$33,2,)</f>
        <v>Downtown</v>
      </c>
      <c r="C2033" s="2">
        <v>44374</v>
      </c>
      <c r="D2033" s="3">
        <v>1116</v>
      </c>
    </row>
    <row r="2034" spans="1:4" ht="14.7" hidden="1" thickBot="1" x14ac:dyDescent="0.6">
      <c r="A2034" s="1" t="s">
        <v>27</v>
      </c>
      <c r="B2034" t="str">
        <f>VLOOKUP(A2034,'Area Breakdown'!$B$1:$C$33,2,)</f>
        <v xml:space="preserve">Alexandria </v>
      </c>
      <c r="C2034" s="2">
        <v>44374</v>
      </c>
      <c r="D2034" s="3">
        <v>1038.4000000000001</v>
      </c>
    </row>
    <row r="2035" spans="1:4" ht="14.7" hidden="1" thickBot="1" x14ac:dyDescent="0.6">
      <c r="A2035" s="1" t="s">
        <v>11</v>
      </c>
      <c r="B2035" t="str">
        <f>VLOOKUP(A2035,'Area Breakdown'!$B$1:$C$33,2,)</f>
        <v>New Cairo</v>
      </c>
      <c r="C2035" s="2">
        <v>44374</v>
      </c>
      <c r="D2035" s="3">
        <v>1018.8000000000001</v>
      </c>
    </row>
    <row r="2036" spans="1:4" ht="14.7" hidden="1" thickBot="1" x14ac:dyDescent="0.6">
      <c r="A2036" s="1" t="s">
        <v>22</v>
      </c>
      <c r="B2036" t="str">
        <f>VLOOKUP(A2036,'Area Breakdown'!$B$1:$C$33,2,)</f>
        <v>Heliopolis</v>
      </c>
      <c r="C2036" s="2">
        <v>44374</v>
      </c>
      <c r="D2036" s="3">
        <v>990</v>
      </c>
    </row>
    <row r="2037" spans="1:4" ht="14.7" hidden="1" thickBot="1" x14ac:dyDescent="0.6">
      <c r="A2037" s="1" t="s">
        <v>3</v>
      </c>
      <c r="B2037" t="str">
        <f>VLOOKUP(A2037,'Area Breakdown'!$B$1:$C$33,2,)</f>
        <v>Downtown</v>
      </c>
      <c r="C2037" s="2">
        <v>44374</v>
      </c>
      <c r="D2037" s="3">
        <v>958.80000000000007</v>
      </c>
    </row>
    <row r="2038" spans="1:4" ht="14.7" hidden="1" thickBot="1" x14ac:dyDescent="0.6">
      <c r="A2038" s="1" t="s">
        <v>10</v>
      </c>
      <c r="B2038" t="str">
        <f>VLOOKUP(A2038,'Area Breakdown'!$B$1:$C$33,2,)</f>
        <v xml:space="preserve">Alexandria </v>
      </c>
      <c r="C2038" s="2">
        <v>44374</v>
      </c>
      <c r="D2038" s="3">
        <v>944.40000000000009</v>
      </c>
    </row>
    <row r="2039" spans="1:4" ht="14.7" hidden="1" thickBot="1" x14ac:dyDescent="0.6">
      <c r="A2039" s="1" t="s">
        <v>16</v>
      </c>
      <c r="B2039" t="str">
        <f>VLOOKUP(A2039,'Area Breakdown'!$B$1:$C$33,2,)</f>
        <v>Downtown</v>
      </c>
      <c r="C2039" s="2">
        <v>44374</v>
      </c>
      <c r="D2039" s="3">
        <v>910</v>
      </c>
    </row>
    <row r="2040" spans="1:4" ht="14.7" hidden="1" thickBot="1" x14ac:dyDescent="0.6">
      <c r="A2040" s="1" t="s">
        <v>8</v>
      </c>
      <c r="B2040" t="str">
        <f>VLOOKUP(A2040,'Area Breakdown'!$B$1:$C$33,2,)</f>
        <v>Heliopolis</v>
      </c>
      <c r="C2040" s="2">
        <v>44374</v>
      </c>
      <c r="D2040" s="3">
        <v>808.40000000000009</v>
      </c>
    </row>
    <row r="2041" spans="1:4" ht="14.7" hidden="1" thickBot="1" x14ac:dyDescent="0.6">
      <c r="A2041" s="1" t="s">
        <v>13</v>
      </c>
      <c r="B2041" t="str">
        <f>VLOOKUP(A2041,'Area Breakdown'!$B$1:$C$33,2,)</f>
        <v>Heliopolis</v>
      </c>
      <c r="C2041" s="2">
        <v>44374</v>
      </c>
      <c r="D2041" s="3">
        <v>781.6</v>
      </c>
    </row>
    <row r="2042" spans="1:4" ht="14.7" hidden="1" thickBot="1" x14ac:dyDescent="0.6">
      <c r="A2042" s="1" t="s">
        <v>4</v>
      </c>
      <c r="B2042" t="str">
        <f>VLOOKUP(A2042,'Area Breakdown'!$B$1:$C$33,2,)</f>
        <v>Downtown</v>
      </c>
      <c r="C2042" s="2">
        <v>44374</v>
      </c>
      <c r="D2042" s="3">
        <v>639.6</v>
      </c>
    </row>
    <row r="2043" spans="1:4" ht="14.7" hidden="1" thickBot="1" x14ac:dyDescent="0.6">
      <c r="A2043" s="1" t="s">
        <v>17</v>
      </c>
      <c r="B2043" t="str">
        <f>VLOOKUP(A2043,'Area Breakdown'!$B$1:$C$33,2,)</f>
        <v>Heliopolis</v>
      </c>
      <c r="C2043" s="2">
        <v>44374</v>
      </c>
      <c r="D2043" s="3">
        <v>580.80000000000007</v>
      </c>
    </row>
    <row r="2044" spans="1:4" ht="14.7" hidden="1" thickBot="1" x14ac:dyDescent="0.6">
      <c r="A2044" s="1" t="s">
        <v>9</v>
      </c>
      <c r="B2044" t="str">
        <f>VLOOKUP(A2044,'Area Breakdown'!$B$1:$C$33,2,)</f>
        <v xml:space="preserve">Alexandria </v>
      </c>
      <c r="C2044" s="2">
        <v>44374</v>
      </c>
      <c r="D2044" s="3">
        <v>501.6</v>
      </c>
    </row>
    <row r="2045" spans="1:4" ht="14.7" hidden="1" thickBot="1" x14ac:dyDescent="0.6">
      <c r="A2045" s="1" t="s">
        <v>6</v>
      </c>
      <c r="B2045" t="str">
        <f>VLOOKUP(A2045,'Area Breakdown'!$B$1:$C$33,2,)</f>
        <v xml:space="preserve">Alexandria </v>
      </c>
      <c r="C2045" s="2">
        <v>44374</v>
      </c>
      <c r="D2045" s="3">
        <v>415.6</v>
      </c>
    </row>
    <row r="2046" spans="1:4" ht="14.7" hidden="1" thickBot="1" x14ac:dyDescent="0.6">
      <c r="A2046" s="1" t="s">
        <v>15</v>
      </c>
      <c r="B2046" t="str">
        <f>VLOOKUP(A2046,'Area Breakdown'!$B$1:$C$33,2,)</f>
        <v>Heliopolis</v>
      </c>
      <c r="C2046" s="2">
        <v>44374</v>
      </c>
      <c r="D2046" s="3">
        <v>405.20000000000005</v>
      </c>
    </row>
    <row r="2047" spans="1:4" ht="14.7" hidden="1" thickBot="1" x14ac:dyDescent="0.6">
      <c r="A2047" s="1" t="s">
        <v>7</v>
      </c>
      <c r="B2047" t="str">
        <f>VLOOKUP(A2047,'Area Breakdown'!$B$1:$C$33,2,)</f>
        <v>October</v>
      </c>
      <c r="C2047" s="2">
        <v>44374</v>
      </c>
      <c r="D2047" s="3">
        <v>352.8</v>
      </c>
    </row>
    <row r="2048" spans="1:4" ht="14.7" hidden="1" thickBot="1" x14ac:dyDescent="0.6">
      <c r="A2048" s="1" t="s">
        <v>23</v>
      </c>
      <c r="B2048" t="str">
        <f>VLOOKUP(A2048,'Area Breakdown'!$B$1:$C$33,2,)</f>
        <v>Heliopolis</v>
      </c>
      <c r="C2048" s="2">
        <v>44374</v>
      </c>
      <c r="D2048" s="3">
        <v>312</v>
      </c>
    </row>
    <row r="2049" spans="1:4" ht="14.7" hidden="1" thickBot="1" x14ac:dyDescent="0.6">
      <c r="A2049" s="1" t="s">
        <v>25</v>
      </c>
      <c r="B2049" t="str">
        <f>VLOOKUP(A2049,'Area Breakdown'!$B$1:$C$33,2,)</f>
        <v>October</v>
      </c>
      <c r="C2049" s="2">
        <v>44374</v>
      </c>
      <c r="D2049" s="3">
        <v>1337.6000000000001</v>
      </c>
    </row>
    <row r="2050" spans="1:4" ht="14.7" hidden="1" thickBot="1" x14ac:dyDescent="0.6">
      <c r="A2050" s="1" t="s">
        <v>21</v>
      </c>
      <c r="B2050" t="str">
        <f>VLOOKUP(A2050,'Area Breakdown'!$B$1:$C$33,2,)</f>
        <v>Heliopolis</v>
      </c>
      <c r="C2050" s="2">
        <v>44374</v>
      </c>
      <c r="D2050" s="3">
        <v>1333.2</v>
      </c>
    </row>
    <row r="2051" spans="1:4" ht="14.7" hidden="1" thickBot="1" x14ac:dyDescent="0.6">
      <c r="A2051" s="1" t="s">
        <v>12</v>
      </c>
      <c r="B2051" t="str">
        <f>VLOOKUP(A2051,'Area Breakdown'!$B$1:$C$33,2,)</f>
        <v>New Cairo</v>
      </c>
      <c r="C2051" s="2">
        <v>44374</v>
      </c>
      <c r="D2051" s="3">
        <v>1871.6000000000001</v>
      </c>
    </row>
    <row r="2052" spans="1:4" ht="14.7" hidden="1" thickBot="1" x14ac:dyDescent="0.6">
      <c r="A2052" s="1" t="s">
        <v>19</v>
      </c>
      <c r="B2052" t="str">
        <f>VLOOKUP(A2052,'Area Breakdown'!$B$1:$C$33,2,)</f>
        <v>Downtown</v>
      </c>
      <c r="C2052" s="2">
        <v>44374</v>
      </c>
      <c r="D2052" s="3">
        <v>1811.2</v>
      </c>
    </row>
    <row r="2053" spans="1:4" ht="14.7" hidden="1" thickBot="1" x14ac:dyDescent="0.6">
      <c r="A2053" s="1" t="s">
        <v>1</v>
      </c>
      <c r="B2053" t="str">
        <f>VLOOKUP(A2053,'Area Breakdown'!$B$1:$C$33,2,)</f>
        <v>Downtown</v>
      </c>
      <c r="C2053" s="2">
        <v>44375</v>
      </c>
      <c r="D2053" s="3">
        <v>1622</v>
      </c>
    </row>
    <row r="2054" spans="1:4" ht="14.7" hidden="1" thickBot="1" x14ac:dyDescent="0.6">
      <c r="A2054" s="1" t="s">
        <v>12</v>
      </c>
      <c r="B2054" t="str">
        <f>VLOOKUP(A2054,'Area Breakdown'!$B$1:$C$33,2,)</f>
        <v>New Cairo</v>
      </c>
      <c r="C2054" s="2">
        <v>44375</v>
      </c>
      <c r="D2054" s="3">
        <v>1556</v>
      </c>
    </row>
    <row r="2055" spans="1:4" ht="14.7" hidden="1" thickBot="1" x14ac:dyDescent="0.6">
      <c r="A2055" s="1" t="s">
        <v>0</v>
      </c>
      <c r="B2055" t="str">
        <f>VLOOKUP(A2055,'Area Breakdown'!$B$1:$C$33,2,)</f>
        <v>Downtown</v>
      </c>
      <c r="C2055" s="2">
        <v>44375</v>
      </c>
      <c r="D2055" s="3">
        <v>1505.6000000000001</v>
      </c>
    </row>
    <row r="2056" spans="1:4" ht="14.7" hidden="1" thickBot="1" x14ac:dyDescent="0.6">
      <c r="A2056" s="1" t="s">
        <v>11</v>
      </c>
      <c r="B2056" t="str">
        <f>VLOOKUP(A2056,'Area Breakdown'!$B$1:$C$33,2,)</f>
        <v>New Cairo</v>
      </c>
      <c r="C2056" s="2">
        <v>44375</v>
      </c>
      <c r="D2056" s="3">
        <v>1232</v>
      </c>
    </row>
    <row r="2057" spans="1:4" ht="14.7" hidden="1" thickBot="1" x14ac:dyDescent="0.6">
      <c r="A2057" s="1" t="s">
        <v>22</v>
      </c>
      <c r="B2057" t="str">
        <f>VLOOKUP(A2057,'Area Breakdown'!$B$1:$C$33,2,)</f>
        <v>Heliopolis</v>
      </c>
      <c r="C2057" s="2">
        <v>44375</v>
      </c>
      <c r="D2057" s="3">
        <v>1171.2</v>
      </c>
    </row>
    <row r="2058" spans="1:4" ht="14.7" hidden="1" thickBot="1" x14ac:dyDescent="0.6">
      <c r="A2058" s="1" t="s">
        <v>19</v>
      </c>
      <c r="B2058" t="str">
        <f>VLOOKUP(A2058,'Area Breakdown'!$B$1:$C$33,2,)</f>
        <v>Downtown</v>
      </c>
      <c r="C2058" s="2">
        <v>44375</v>
      </c>
      <c r="D2058" s="3">
        <v>1128</v>
      </c>
    </row>
    <row r="2059" spans="1:4" ht="14.7" hidden="1" thickBot="1" x14ac:dyDescent="0.6">
      <c r="A2059" s="1" t="s">
        <v>20</v>
      </c>
      <c r="B2059" t="str">
        <f>VLOOKUP(A2059,'Area Breakdown'!$B$1:$C$33,2,)</f>
        <v>Downtown</v>
      </c>
      <c r="C2059" s="2">
        <v>44375</v>
      </c>
      <c r="D2059" s="3">
        <v>1099.6000000000001</v>
      </c>
    </row>
    <row r="2060" spans="1:4" ht="14.7" hidden="1" thickBot="1" x14ac:dyDescent="0.6">
      <c r="A2060" s="1" t="s">
        <v>2</v>
      </c>
      <c r="B2060" t="str">
        <f>VLOOKUP(A2060,'Area Breakdown'!$B$1:$C$33,2,)</f>
        <v>Downtown</v>
      </c>
      <c r="C2060" s="2">
        <v>44375</v>
      </c>
      <c r="D2060" s="3">
        <v>1076.8</v>
      </c>
    </row>
    <row r="2061" spans="1:4" ht="14.7" hidden="1" thickBot="1" x14ac:dyDescent="0.6">
      <c r="A2061" s="1" t="s">
        <v>3</v>
      </c>
      <c r="B2061" t="str">
        <f>VLOOKUP(A2061,'Area Breakdown'!$B$1:$C$33,2,)</f>
        <v>Downtown</v>
      </c>
      <c r="C2061" s="2">
        <v>44375</v>
      </c>
      <c r="D2061" s="3">
        <v>1051.2</v>
      </c>
    </row>
    <row r="2062" spans="1:4" ht="14.7" hidden="1" thickBot="1" x14ac:dyDescent="0.6">
      <c r="A2062" s="1" t="s">
        <v>25</v>
      </c>
      <c r="B2062" t="str">
        <f>VLOOKUP(A2062,'Area Breakdown'!$B$1:$C$33,2,)</f>
        <v>October</v>
      </c>
      <c r="C2062" s="2">
        <v>44375</v>
      </c>
      <c r="D2062" s="3">
        <v>905.2</v>
      </c>
    </row>
    <row r="2063" spans="1:4" ht="14.7" hidden="1" thickBot="1" x14ac:dyDescent="0.6">
      <c r="A2063" s="1" t="s">
        <v>24</v>
      </c>
      <c r="B2063" t="str">
        <f>VLOOKUP(A2063,'Area Breakdown'!$B$1:$C$33,2,)</f>
        <v>October</v>
      </c>
      <c r="C2063" s="2">
        <v>44375</v>
      </c>
      <c r="D2063" s="3">
        <v>882.80000000000007</v>
      </c>
    </row>
    <row r="2064" spans="1:4" ht="14.7" hidden="1" thickBot="1" x14ac:dyDescent="0.6">
      <c r="A2064" s="1" t="s">
        <v>21</v>
      </c>
      <c r="B2064" t="str">
        <f>VLOOKUP(A2064,'Area Breakdown'!$B$1:$C$33,2,)</f>
        <v>Heliopolis</v>
      </c>
      <c r="C2064" s="2">
        <v>44375</v>
      </c>
      <c r="D2064" s="3">
        <v>814.80000000000007</v>
      </c>
    </row>
    <row r="2065" spans="1:4" ht="14.7" hidden="1" thickBot="1" x14ac:dyDescent="0.6">
      <c r="A2065" s="1" t="s">
        <v>8</v>
      </c>
      <c r="B2065" t="str">
        <f>VLOOKUP(A2065,'Area Breakdown'!$B$1:$C$33,2,)</f>
        <v>Heliopolis</v>
      </c>
      <c r="C2065" s="2">
        <v>44375</v>
      </c>
      <c r="D2065" s="3">
        <v>782.80000000000007</v>
      </c>
    </row>
    <row r="2066" spans="1:4" ht="14.7" hidden="1" thickBot="1" x14ac:dyDescent="0.6">
      <c r="A2066" s="1" t="s">
        <v>13</v>
      </c>
      <c r="B2066" t="str">
        <f>VLOOKUP(A2066,'Area Breakdown'!$B$1:$C$33,2,)</f>
        <v>Heliopolis</v>
      </c>
      <c r="C2066" s="2">
        <v>44375</v>
      </c>
      <c r="D2066" s="3">
        <v>765.6</v>
      </c>
    </row>
    <row r="2067" spans="1:4" ht="14.7" hidden="1" thickBot="1" x14ac:dyDescent="0.6">
      <c r="A2067" s="1" t="s">
        <v>16</v>
      </c>
      <c r="B2067" t="str">
        <f>VLOOKUP(A2067,'Area Breakdown'!$B$1:$C$33,2,)</f>
        <v>Downtown</v>
      </c>
      <c r="C2067" s="2">
        <v>44375</v>
      </c>
      <c r="D2067" s="3">
        <v>698.40000000000009</v>
      </c>
    </row>
    <row r="2068" spans="1:4" ht="14.7" hidden="1" thickBot="1" x14ac:dyDescent="0.6">
      <c r="A2068" s="1" t="s">
        <v>27</v>
      </c>
      <c r="B2068" t="str">
        <f>VLOOKUP(A2068,'Area Breakdown'!$B$1:$C$33,2,)</f>
        <v xml:space="preserve">Alexandria </v>
      </c>
      <c r="C2068" s="2">
        <v>44375</v>
      </c>
      <c r="D2068" s="3">
        <v>657.2</v>
      </c>
    </row>
    <row r="2069" spans="1:4" ht="14.7" hidden="1" thickBot="1" x14ac:dyDescent="0.6">
      <c r="A2069" s="1" t="s">
        <v>9</v>
      </c>
      <c r="B2069" t="str">
        <f>VLOOKUP(A2069,'Area Breakdown'!$B$1:$C$33,2,)</f>
        <v xml:space="preserve">Alexandria </v>
      </c>
      <c r="C2069" s="2">
        <v>44375</v>
      </c>
      <c r="D2069" s="3">
        <v>604</v>
      </c>
    </row>
    <row r="2070" spans="1:4" ht="14.7" hidden="1" thickBot="1" x14ac:dyDescent="0.6">
      <c r="A2070" s="1" t="s">
        <v>17</v>
      </c>
      <c r="B2070" t="str">
        <f>VLOOKUP(A2070,'Area Breakdown'!$B$1:$C$33,2,)</f>
        <v>Heliopolis</v>
      </c>
      <c r="C2070" s="2">
        <v>44375</v>
      </c>
      <c r="D2070" s="3">
        <v>580</v>
      </c>
    </row>
    <row r="2071" spans="1:4" ht="14.7" hidden="1" thickBot="1" x14ac:dyDescent="0.6">
      <c r="A2071" s="1" t="s">
        <v>15</v>
      </c>
      <c r="B2071" t="str">
        <f>VLOOKUP(A2071,'Area Breakdown'!$B$1:$C$33,2,)</f>
        <v>Heliopolis</v>
      </c>
      <c r="C2071" s="2">
        <v>44375</v>
      </c>
      <c r="D2071" s="3">
        <v>555.20000000000005</v>
      </c>
    </row>
    <row r="2072" spans="1:4" ht="14.7" hidden="1" thickBot="1" x14ac:dyDescent="0.6">
      <c r="A2072" s="1" t="s">
        <v>10</v>
      </c>
      <c r="B2072" t="str">
        <f>VLOOKUP(A2072,'Area Breakdown'!$B$1:$C$33,2,)</f>
        <v xml:space="preserve">Alexandria </v>
      </c>
      <c r="C2072" s="2">
        <v>44375</v>
      </c>
      <c r="D2072" s="3">
        <v>534.80000000000007</v>
      </c>
    </row>
    <row r="2073" spans="1:4" ht="14.7" hidden="1" thickBot="1" x14ac:dyDescent="0.6">
      <c r="A2073" s="1" t="s">
        <v>4</v>
      </c>
      <c r="B2073" t="str">
        <f>VLOOKUP(A2073,'Area Breakdown'!$B$1:$C$33,2,)</f>
        <v>Downtown</v>
      </c>
      <c r="C2073" s="2">
        <v>44375</v>
      </c>
      <c r="D2073" s="3">
        <v>534.4</v>
      </c>
    </row>
    <row r="2074" spans="1:4" ht="14.7" hidden="1" thickBot="1" x14ac:dyDescent="0.6">
      <c r="A2074" s="1" t="s">
        <v>23</v>
      </c>
      <c r="B2074" t="str">
        <f>VLOOKUP(A2074,'Area Breakdown'!$B$1:$C$33,2,)</f>
        <v>Heliopolis</v>
      </c>
      <c r="C2074" s="2">
        <v>44375</v>
      </c>
      <c r="D2074" s="3">
        <v>334.8</v>
      </c>
    </row>
    <row r="2075" spans="1:4" ht="14.7" hidden="1" thickBot="1" x14ac:dyDescent="0.6">
      <c r="A2075" s="1" t="s">
        <v>6</v>
      </c>
      <c r="B2075" t="str">
        <f>VLOOKUP(A2075,'Area Breakdown'!$B$1:$C$33,2,)</f>
        <v xml:space="preserve">Alexandria </v>
      </c>
      <c r="C2075" s="2">
        <v>44375</v>
      </c>
      <c r="D2075" s="3">
        <v>301.2</v>
      </c>
    </row>
    <row r="2076" spans="1:4" ht="14.7" hidden="1" thickBot="1" x14ac:dyDescent="0.6">
      <c r="A2076" s="1" t="s">
        <v>7</v>
      </c>
      <c r="B2076" t="str">
        <f>VLOOKUP(A2076,'Area Breakdown'!$B$1:$C$33,2,)</f>
        <v>October</v>
      </c>
      <c r="C2076" s="2">
        <v>44375</v>
      </c>
      <c r="D2076" s="3">
        <v>290.8</v>
      </c>
    </row>
    <row r="2077" spans="1:4" ht="14.7" hidden="1" thickBot="1" x14ac:dyDescent="0.6">
      <c r="A2077" s="1" t="s">
        <v>30</v>
      </c>
      <c r="B2077" t="str">
        <f>VLOOKUP(A2077,'Area Breakdown'!$B$1:$C$33,2,)</f>
        <v>October</v>
      </c>
      <c r="C2077" s="2">
        <v>44375</v>
      </c>
      <c r="D2077" s="3">
        <v>280</v>
      </c>
    </row>
    <row r="2078" spans="1:4" ht="14.7" hidden="1" thickBot="1" x14ac:dyDescent="0.6">
      <c r="A2078" s="1" t="s">
        <v>29</v>
      </c>
      <c r="B2078" t="str">
        <f>VLOOKUP(A2078,'Area Breakdown'!$B$1:$C$33,2,)</f>
        <v>Downtown</v>
      </c>
      <c r="C2078" s="2">
        <v>44375</v>
      </c>
      <c r="D2078" s="3">
        <v>49.2</v>
      </c>
    </row>
    <row r="2079" spans="1:4" ht="14.7" hidden="1" thickBot="1" x14ac:dyDescent="0.6">
      <c r="A2079" s="1" t="s">
        <v>1</v>
      </c>
      <c r="B2079" t="str">
        <f>VLOOKUP(A2079,'Area Breakdown'!$B$1:$C$33,2,)</f>
        <v>Downtown</v>
      </c>
      <c r="C2079" s="2">
        <v>44376</v>
      </c>
      <c r="D2079" s="3">
        <v>1518.8000000000002</v>
      </c>
    </row>
    <row r="2080" spans="1:4" ht="14.7" hidden="1" thickBot="1" x14ac:dyDescent="0.6">
      <c r="A2080" s="1" t="s">
        <v>11</v>
      </c>
      <c r="B2080" t="str">
        <f>VLOOKUP(A2080,'Area Breakdown'!$B$1:$C$33,2,)</f>
        <v>New Cairo</v>
      </c>
      <c r="C2080" s="2">
        <v>44376</v>
      </c>
      <c r="D2080" s="3">
        <v>1212</v>
      </c>
    </row>
    <row r="2081" spans="1:4" ht="14.7" hidden="1" thickBot="1" x14ac:dyDescent="0.6">
      <c r="A2081" s="1" t="s">
        <v>13</v>
      </c>
      <c r="B2081" t="str">
        <f>VLOOKUP(A2081,'Area Breakdown'!$B$1:$C$33,2,)</f>
        <v>Heliopolis</v>
      </c>
      <c r="C2081" s="2">
        <v>44376</v>
      </c>
      <c r="D2081" s="3">
        <v>1072.4000000000001</v>
      </c>
    </row>
    <row r="2082" spans="1:4" ht="14.7" hidden="1" thickBot="1" x14ac:dyDescent="0.6">
      <c r="A2082" s="1" t="s">
        <v>22</v>
      </c>
      <c r="B2082" t="str">
        <f>VLOOKUP(A2082,'Area Breakdown'!$B$1:$C$33,2,)</f>
        <v>Heliopolis</v>
      </c>
      <c r="C2082" s="2">
        <v>44376</v>
      </c>
      <c r="D2082" s="3">
        <v>1015.6</v>
      </c>
    </row>
    <row r="2083" spans="1:4" ht="14.7" hidden="1" thickBot="1" x14ac:dyDescent="0.6">
      <c r="A2083" s="1" t="s">
        <v>20</v>
      </c>
      <c r="B2083" t="str">
        <f>VLOOKUP(A2083,'Area Breakdown'!$B$1:$C$33,2,)</f>
        <v>Downtown</v>
      </c>
      <c r="C2083" s="2">
        <v>44376</v>
      </c>
      <c r="D2083" s="3">
        <v>1007.2</v>
      </c>
    </row>
    <row r="2084" spans="1:4" ht="14.7" hidden="1" thickBot="1" x14ac:dyDescent="0.6">
      <c r="A2084" s="1" t="s">
        <v>21</v>
      </c>
      <c r="B2084" t="str">
        <f>VLOOKUP(A2084,'Area Breakdown'!$B$1:$C$33,2,)</f>
        <v>Heliopolis</v>
      </c>
      <c r="C2084" s="2">
        <v>44376</v>
      </c>
      <c r="D2084" s="3">
        <v>944.80000000000007</v>
      </c>
    </row>
    <row r="2085" spans="1:4" ht="14.7" hidden="1" thickBot="1" x14ac:dyDescent="0.6">
      <c r="A2085" s="1" t="s">
        <v>2</v>
      </c>
      <c r="B2085" t="str">
        <f>VLOOKUP(A2085,'Area Breakdown'!$B$1:$C$33,2,)</f>
        <v>Downtown</v>
      </c>
      <c r="C2085" s="2">
        <v>44376</v>
      </c>
      <c r="D2085" s="3">
        <v>938.40000000000009</v>
      </c>
    </row>
    <row r="2086" spans="1:4" ht="14.7" hidden="1" thickBot="1" x14ac:dyDescent="0.6">
      <c r="A2086" s="1" t="s">
        <v>16</v>
      </c>
      <c r="B2086" t="str">
        <f>VLOOKUP(A2086,'Area Breakdown'!$B$1:$C$33,2,)</f>
        <v>Downtown</v>
      </c>
      <c r="C2086" s="2">
        <v>44376</v>
      </c>
      <c r="D2086" s="3">
        <v>837.6</v>
      </c>
    </row>
    <row r="2087" spans="1:4" ht="14.7" hidden="1" thickBot="1" x14ac:dyDescent="0.6">
      <c r="A2087" s="1" t="s">
        <v>27</v>
      </c>
      <c r="B2087" t="str">
        <f>VLOOKUP(A2087,'Area Breakdown'!$B$1:$C$33,2,)</f>
        <v xml:space="preserve">Alexandria </v>
      </c>
      <c r="C2087" s="2">
        <v>44376</v>
      </c>
      <c r="D2087" s="3">
        <v>790.40000000000009</v>
      </c>
    </row>
    <row r="2088" spans="1:4" ht="14.7" hidden="1" thickBot="1" x14ac:dyDescent="0.6">
      <c r="A2088" s="1" t="s">
        <v>25</v>
      </c>
      <c r="B2088" t="str">
        <f>VLOOKUP(A2088,'Area Breakdown'!$B$1:$C$33,2,)</f>
        <v>October</v>
      </c>
      <c r="C2088" s="2">
        <v>44376</v>
      </c>
      <c r="D2088" s="3">
        <v>675.2</v>
      </c>
    </row>
    <row r="2089" spans="1:4" ht="14.7" hidden="1" thickBot="1" x14ac:dyDescent="0.6">
      <c r="A2089" s="1" t="s">
        <v>3</v>
      </c>
      <c r="B2089" t="str">
        <f>VLOOKUP(A2089,'Area Breakdown'!$B$1:$C$33,2,)</f>
        <v>Downtown</v>
      </c>
      <c r="C2089" s="2">
        <v>44376</v>
      </c>
      <c r="D2089" s="3">
        <v>645.6</v>
      </c>
    </row>
    <row r="2090" spans="1:4" ht="14.7" hidden="1" thickBot="1" x14ac:dyDescent="0.6">
      <c r="A2090" s="1" t="s">
        <v>17</v>
      </c>
      <c r="B2090" t="str">
        <f>VLOOKUP(A2090,'Area Breakdown'!$B$1:$C$33,2,)</f>
        <v>Heliopolis</v>
      </c>
      <c r="C2090" s="2">
        <v>44376</v>
      </c>
      <c r="D2090" s="3">
        <v>626</v>
      </c>
    </row>
    <row r="2091" spans="1:4" ht="14.7" hidden="1" thickBot="1" x14ac:dyDescent="0.6">
      <c r="A2091" s="1" t="s">
        <v>4</v>
      </c>
      <c r="B2091" t="str">
        <f>VLOOKUP(A2091,'Area Breakdown'!$B$1:$C$33,2,)</f>
        <v>Downtown</v>
      </c>
      <c r="C2091" s="2">
        <v>44376</v>
      </c>
      <c r="D2091" s="3">
        <v>524.80000000000007</v>
      </c>
    </row>
    <row r="2092" spans="1:4" ht="14.7" hidden="1" thickBot="1" x14ac:dyDescent="0.6">
      <c r="A2092" s="1" t="s">
        <v>9</v>
      </c>
      <c r="B2092" t="str">
        <f>VLOOKUP(A2092,'Area Breakdown'!$B$1:$C$33,2,)</f>
        <v xml:space="preserve">Alexandria </v>
      </c>
      <c r="C2092" s="2">
        <v>44376</v>
      </c>
      <c r="D2092" s="3">
        <v>516.4</v>
      </c>
    </row>
    <row r="2093" spans="1:4" ht="14.7" hidden="1" thickBot="1" x14ac:dyDescent="0.6">
      <c r="A2093" s="1" t="s">
        <v>23</v>
      </c>
      <c r="B2093" t="str">
        <f>VLOOKUP(A2093,'Area Breakdown'!$B$1:$C$33,2,)</f>
        <v>Heliopolis</v>
      </c>
      <c r="C2093" s="2">
        <v>44376</v>
      </c>
      <c r="D2093" s="3">
        <v>505.6</v>
      </c>
    </row>
    <row r="2094" spans="1:4" ht="14.7" hidden="1" thickBot="1" x14ac:dyDescent="0.6">
      <c r="A2094" s="1" t="s">
        <v>10</v>
      </c>
      <c r="B2094" t="str">
        <f>VLOOKUP(A2094,'Area Breakdown'!$B$1:$C$33,2,)</f>
        <v xml:space="preserve">Alexandria </v>
      </c>
      <c r="C2094" s="2">
        <v>44376</v>
      </c>
      <c r="D2094" s="3">
        <v>472.40000000000003</v>
      </c>
    </row>
    <row r="2095" spans="1:4" ht="14.7" hidden="1" thickBot="1" x14ac:dyDescent="0.6">
      <c r="A2095" s="1" t="s">
        <v>8</v>
      </c>
      <c r="B2095" t="str">
        <f>VLOOKUP(A2095,'Area Breakdown'!$B$1:$C$33,2,)</f>
        <v>Heliopolis</v>
      </c>
      <c r="C2095" s="2">
        <v>44376</v>
      </c>
      <c r="D2095" s="3">
        <v>426</v>
      </c>
    </row>
    <row r="2096" spans="1:4" ht="14.7" hidden="1" thickBot="1" x14ac:dyDescent="0.6">
      <c r="A2096" s="1" t="s">
        <v>30</v>
      </c>
      <c r="B2096" t="str">
        <f>VLOOKUP(A2096,'Area Breakdown'!$B$1:$C$33,2,)</f>
        <v>October</v>
      </c>
      <c r="C2096" s="2">
        <v>44376</v>
      </c>
      <c r="D2096" s="3">
        <v>423.20000000000005</v>
      </c>
    </row>
    <row r="2097" spans="1:4" ht="14.7" hidden="1" thickBot="1" x14ac:dyDescent="0.6">
      <c r="A2097" s="1" t="s">
        <v>6</v>
      </c>
      <c r="B2097" t="str">
        <f>VLOOKUP(A2097,'Area Breakdown'!$B$1:$C$33,2,)</f>
        <v xml:space="preserve">Alexandria </v>
      </c>
      <c r="C2097" s="2">
        <v>44376</v>
      </c>
      <c r="D2097" s="3">
        <v>382.40000000000003</v>
      </c>
    </row>
    <row r="2098" spans="1:4" ht="14.7" hidden="1" thickBot="1" x14ac:dyDescent="0.6">
      <c r="A2098" s="1" t="s">
        <v>15</v>
      </c>
      <c r="B2098" t="str">
        <f>VLOOKUP(A2098,'Area Breakdown'!$B$1:$C$33,2,)</f>
        <v>Heliopolis</v>
      </c>
      <c r="C2098" s="2">
        <v>44376</v>
      </c>
      <c r="D2098" s="3">
        <v>296.8</v>
      </c>
    </row>
    <row r="2099" spans="1:4" ht="14.7" hidden="1" thickBot="1" x14ac:dyDescent="0.6">
      <c r="A2099" s="1" t="s">
        <v>7</v>
      </c>
      <c r="B2099" t="str">
        <f>VLOOKUP(A2099,'Area Breakdown'!$B$1:$C$33,2,)</f>
        <v>October</v>
      </c>
      <c r="C2099" s="2">
        <v>44376</v>
      </c>
      <c r="D2099" s="3">
        <v>217.20000000000002</v>
      </c>
    </row>
    <row r="2100" spans="1:4" ht="14.7" hidden="1" thickBot="1" x14ac:dyDescent="0.6">
      <c r="A2100" s="1" t="s">
        <v>29</v>
      </c>
      <c r="B2100" t="str">
        <f>VLOOKUP(A2100,'Area Breakdown'!$B$1:$C$33,2,)</f>
        <v>Downtown</v>
      </c>
      <c r="C2100" s="2">
        <v>44376</v>
      </c>
      <c r="D2100" s="3">
        <v>215.60000000000002</v>
      </c>
    </row>
    <row r="2101" spans="1:4" ht="14.7" hidden="1" thickBot="1" x14ac:dyDescent="0.6">
      <c r="A2101" s="1" t="s">
        <v>24</v>
      </c>
      <c r="B2101" t="str">
        <f>VLOOKUP(A2101,'Area Breakdown'!$B$1:$C$33,2,)</f>
        <v>October</v>
      </c>
      <c r="C2101" s="2">
        <v>44376</v>
      </c>
      <c r="D2101" s="3">
        <v>2146.4</v>
      </c>
    </row>
    <row r="2102" spans="1:4" ht="14.7" hidden="1" thickBot="1" x14ac:dyDescent="0.6">
      <c r="A2102" s="1" t="s">
        <v>19</v>
      </c>
      <c r="B2102" t="str">
        <f>VLOOKUP(A2102,'Area Breakdown'!$B$1:$C$33,2,)</f>
        <v>Downtown</v>
      </c>
      <c r="C2102" s="2">
        <v>44376</v>
      </c>
      <c r="D2102" s="3">
        <v>2115.6</v>
      </c>
    </row>
    <row r="2103" spans="1:4" ht="14.7" hidden="1" thickBot="1" x14ac:dyDescent="0.6">
      <c r="A2103" s="1" t="s">
        <v>12</v>
      </c>
      <c r="B2103" t="str">
        <f>VLOOKUP(A2103,'Area Breakdown'!$B$1:$C$33,2,)</f>
        <v>New Cairo</v>
      </c>
      <c r="C2103" s="2">
        <v>44376</v>
      </c>
      <c r="D2103" s="3">
        <v>1892.8000000000002</v>
      </c>
    </row>
    <row r="2104" spans="1:4" ht="14.7" hidden="1" thickBot="1" x14ac:dyDescent="0.6">
      <c r="A2104" s="1" t="s">
        <v>0</v>
      </c>
      <c r="B2104" t="str">
        <f>VLOOKUP(A2104,'Area Breakdown'!$B$1:$C$33,2,)</f>
        <v>Downtown</v>
      </c>
      <c r="C2104" s="2">
        <v>44376</v>
      </c>
      <c r="D2104" s="3">
        <v>1723.2</v>
      </c>
    </row>
    <row r="2105" spans="1:4" ht="14.7" hidden="1" thickBot="1" x14ac:dyDescent="0.6">
      <c r="A2105" s="1" t="s">
        <v>1</v>
      </c>
      <c r="B2105" t="str">
        <f>VLOOKUP(A2105,'Area Breakdown'!$B$1:$C$33,2,)</f>
        <v>Downtown</v>
      </c>
      <c r="C2105" s="2">
        <v>44377</v>
      </c>
      <c r="D2105" s="3">
        <v>1266</v>
      </c>
    </row>
    <row r="2106" spans="1:4" ht="14.7" hidden="1" thickBot="1" x14ac:dyDescent="0.6">
      <c r="A2106" s="1" t="s">
        <v>21</v>
      </c>
      <c r="B2106" t="str">
        <f>VLOOKUP(A2106,'Area Breakdown'!$B$1:$C$33,2,)</f>
        <v>Heliopolis</v>
      </c>
      <c r="C2106" s="2">
        <v>44377</v>
      </c>
      <c r="D2106" s="3">
        <v>1209.6000000000001</v>
      </c>
    </row>
    <row r="2107" spans="1:4" ht="14.7" hidden="1" thickBot="1" x14ac:dyDescent="0.6">
      <c r="A2107" s="1" t="s">
        <v>11</v>
      </c>
      <c r="B2107" t="str">
        <f>VLOOKUP(A2107,'Area Breakdown'!$B$1:$C$33,2,)</f>
        <v>New Cairo</v>
      </c>
      <c r="C2107" s="2">
        <v>44377</v>
      </c>
      <c r="D2107" s="3">
        <v>1140</v>
      </c>
    </row>
    <row r="2108" spans="1:4" ht="14.7" hidden="1" thickBot="1" x14ac:dyDescent="0.6">
      <c r="A2108" s="1" t="s">
        <v>20</v>
      </c>
      <c r="B2108" t="str">
        <f>VLOOKUP(A2108,'Area Breakdown'!$B$1:$C$33,2,)</f>
        <v>Downtown</v>
      </c>
      <c r="C2108" s="2">
        <v>44377</v>
      </c>
      <c r="D2108" s="3">
        <v>1056</v>
      </c>
    </row>
    <row r="2109" spans="1:4" ht="14.7" hidden="1" thickBot="1" x14ac:dyDescent="0.6">
      <c r="A2109" s="1" t="s">
        <v>27</v>
      </c>
      <c r="B2109" t="str">
        <f>VLOOKUP(A2109,'Area Breakdown'!$B$1:$C$33,2,)</f>
        <v xml:space="preserve">Alexandria </v>
      </c>
      <c r="C2109" s="2">
        <v>44377</v>
      </c>
      <c r="D2109" s="3">
        <v>959.6</v>
      </c>
    </row>
    <row r="2110" spans="1:4" ht="14.7" hidden="1" thickBot="1" x14ac:dyDescent="0.6">
      <c r="A2110" s="1" t="s">
        <v>2</v>
      </c>
      <c r="B2110" t="str">
        <f>VLOOKUP(A2110,'Area Breakdown'!$B$1:$C$33,2,)</f>
        <v>Downtown</v>
      </c>
      <c r="C2110" s="2">
        <v>44377</v>
      </c>
      <c r="D2110" s="3">
        <v>876.40000000000009</v>
      </c>
    </row>
    <row r="2111" spans="1:4" ht="14.7" hidden="1" thickBot="1" x14ac:dyDescent="0.6">
      <c r="A2111" s="1" t="s">
        <v>25</v>
      </c>
      <c r="B2111" t="str">
        <f>VLOOKUP(A2111,'Area Breakdown'!$B$1:$C$33,2,)</f>
        <v>October</v>
      </c>
      <c r="C2111" s="2">
        <v>44377</v>
      </c>
      <c r="D2111" s="3">
        <v>870</v>
      </c>
    </row>
    <row r="2112" spans="1:4" ht="14.7" hidden="1" thickBot="1" x14ac:dyDescent="0.6">
      <c r="A2112" s="1" t="s">
        <v>13</v>
      </c>
      <c r="B2112" t="str">
        <f>VLOOKUP(A2112,'Area Breakdown'!$B$1:$C$33,2,)</f>
        <v>Heliopolis</v>
      </c>
      <c r="C2112" s="2">
        <v>44377</v>
      </c>
      <c r="D2112" s="3">
        <v>807.2</v>
      </c>
    </row>
    <row r="2113" spans="1:4" ht="14.7" hidden="1" thickBot="1" x14ac:dyDescent="0.6">
      <c r="A2113" s="1" t="s">
        <v>24</v>
      </c>
      <c r="B2113" t="str">
        <f>VLOOKUP(A2113,'Area Breakdown'!$B$1:$C$33,2,)</f>
        <v>October</v>
      </c>
      <c r="C2113" s="2">
        <v>44377</v>
      </c>
      <c r="D2113" s="3">
        <v>759.2</v>
      </c>
    </row>
    <row r="2114" spans="1:4" ht="14.7" hidden="1" thickBot="1" x14ac:dyDescent="0.6">
      <c r="A2114" s="1" t="s">
        <v>22</v>
      </c>
      <c r="B2114" t="str">
        <f>VLOOKUP(A2114,'Area Breakdown'!$B$1:$C$33,2,)</f>
        <v>Heliopolis</v>
      </c>
      <c r="C2114" s="2">
        <v>44377</v>
      </c>
      <c r="D2114" s="3">
        <v>733.6</v>
      </c>
    </row>
    <row r="2115" spans="1:4" ht="14.7" hidden="1" thickBot="1" x14ac:dyDescent="0.6">
      <c r="A2115" s="1" t="s">
        <v>9</v>
      </c>
      <c r="B2115" t="str">
        <f>VLOOKUP(A2115,'Area Breakdown'!$B$1:$C$33,2,)</f>
        <v xml:space="preserve">Alexandria </v>
      </c>
      <c r="C2115" s="2">
        <v>44377</v>
      </c>
      <c r="D2115" s="3">
        <v>724.80000000000007</v>
      </c>
    </row>
    <row r="2116" spans="1:4" ht="14.7" hidden="1" thickBot="1" x14ac:dyDescent="0.6">
      <c r="A2116" s="1" t="s">
        <v>15</v>
      </c>
      <c r="B2116" t="str">
        <f>VLOOKUP(A2116,'Area Breakdown'!$B$1:$C$33,2,)</f>
        <v>Heliopolis</v>
      </c>
      <c r="C2116" s="2">
        <v>44377</v>
      </c>
      <c r="D2116" s="3">
        <v>706</v>
      </c>
    </row>
    <row r="2117" spans="1:4" ht="14.7" hidden="1" thickBot="1" x14ac:dyDescent="0.6">
      <c r="A2117" s="1" t="s">
        <v>3</v>
      </c>
      <c r="B2117" t="str">
        <f>VLOOKUP(A2117,'Area Breakdown'!$B$1:$C$33,2,)</f>
        <v>Downtown</v>
      </c>
      <c r="C2117" s="2">
        <v>44377</v>
      </c>
      <c r="D2117" s="3">
        <v>648</v>
      </c>
    </row>
    <row r="2118" spans="1:4" ht="14.7" hidden="1" thickBot="1" x14ac:dyDescent="0.6">
      <c r="A2118" s="1" t="s">
        <v>17</v>
      </c>
      <c r="B2118" t="str">
        <f>VLOOKUP(A2118,'Area Breakdown'!$B$1:$C$33,2,)</f>
        <v>Heliopolis</v>
      </c>
      <c r="C2118" s="2">
        <v>44377</v>
      </c>
      <c r="D2118" s="3">
        <v>609.20000000000005</v>
      </c>
    </row>
    <row r="2119" spans="1:4" ht="14.7" hidden="1" thickBot="1" x14ac:dyDescent="0.6">
      <c r="A2119" s="1" t="s">
        <v>16</v>
      </c>
      <c r="B2119" t="str">
        <f>VLOOKUP(A2119,'Area Breakdown'!$B$1:$C$33,2,)</f>
        <v>Downtown</v>
      </c>
      <c r="C2119" s="2">
        <v>44377</v>
      </c>
      <c r="D2119" s="3">
        <v>560.4</v>
      </c>
    </row>
    <row r="2120" spans="1:4" ht="14.7" hidden="1" thickBot="1" x14ac:dyDescent="0.6">
      <c r="A2120" s="1" t="s">
        <v>8</v>
      </c>
      <c r="B2120" t="str">
        <f>VLOOKUP(A2120,'Area Breakdown'!$B$1:$C$33,2,)</f>
        <v>Heliopolis</v>
      </c>
      <c r="C2120" s="2">
        <v>44377</v>
      </c>
      <c r="D2120" s="3">
        <v>560.4</v>
      </c>
    </row>
    <row r="2121" spans="1:4" ht="14.7" hidden="1" thickBot="1" x14ac:dyDescent="0.6">
      <c r="A2121" s="1" t="s">
        <v>23</v>
      </c>
      <c r="B2121" t="str">
        <f>VLOOKUP(A2121,'Area Breakdown'!$B$1:$C$33,2,)</f>
        <v>Heliopolis</v>
      </c>
      <c r="C2121" s="2">
        <v>44377</v>
      </c>
      <c r="D2121" s="3">
        <v>480.40000000000003</v>
      </c>
    </row>
    <row r="2122" spans="1:4" ht="14.7" hidden="1" thickBot="1" x14ac:dyDescent="0.6">
      <c r="A2122" s="1" t="s">
        <v>4</v>
      </c>
      <c r="B2122" t="str">
        <f>VLOOKUP(A2122,'Area Breakdown'!$B$1:$C$33,2,)</f>
        <v>Downtown</v>
      </c>
      <c r="C2122" s="2">
        <v>44377</v>
      </c>
      <c r="D2122" s="3">
        <v>449.20000000000005</v>
      </c>
    </row>
    <row r="2123" spans="1:4" ht="14.7" hidden="1" thickBot="1" x14ac:dyDescent="0.6">
      <c r="A2123" s="1" t="s">
        <v>10</v>
      </c>
      <c r="B2123" t="str">
        <f>VLOOKUP(A2123,'Area Breakdown'!$B$1:$C$33,2,)</f>
        <v xml:space="preserve">Alexandria </v>
      </c>
      <c r="C2123" s="2">
        <v>44377</v>
      </c>
      <c r="D2123" s="3">
        <v>434.40000000000003</v>
      </c>
    </row>
    <row r="2124" spans="1:4" ht="14.7" hidden="1" thickBot="1" x14ac:dyDescent="0.6">
      <c r="A2124" s="1" t="s">
        <v>7</v>
      </c>
      <c r="B2124" t="str">
        <f>VLOOKUP(A2124,'Area Breakdown'!$B$1:$C$33,2,)</f>
        <v>October</v>
      </c>
      <c r="C2124" s="2">
        <v>44377</v>
      </c>
      <c r="D2124" s="3">
        <v>378.8</v>
      </c>
    </row>
    <row r="2125" spans="1:4" ht="14.7" hidden="1" thickBot="1" x14ac:dyDescent="0.6">
      <c r="A2125" s="1" t="s">
        <v>30</v>
      </c>
      <c r="B2125" t="str">
        <f>VLOOKUP(A2125,'Area Breakdown'!$B$1:$C$33,2,)</f>
        <v>October</v>
      </c>
      <c r="C2125" s="2">
        <v>44377</v>
      </c>
      <c r="D2125" s="3">
        <v>313.20000000000005</v>
      </c>
    </row>
    <row r="2126" spans="1:4" ht="14.7" hidden="1" thickBot="1" x14ac:dyDescent="0.6">
      <c r="A2126" s="1" t="s">
        <v>29</v>
      </c>
      <c r="B2126" t="str">
        <f>VLOOKUP(A2126,'Area Breakdown'!$B$1:$C$33,2,)</f>
        <v>Downtown</v>
      </c>
      <c r="C2126" s="2">
        <v>44377</v>
      </c>
      <c r="D2126" s="3">
        <v>262.40000000000003</v>
      </c>
    </row>
    <row r="2127" spans="1:4" ht="14.7" hidden="1" thickBot="1" x14ac:dyDescent="0.6">
      <c r="A2127" s="1" t="s">
        <v>6</v>
      </c>
      <c r="B2127" t="str">
        <f>VLOOKUP(A2127,'Area Breakdown'!$B$1:$C$33,2,)</f>
        <v xml:space="preserve">Alexandria </v>
      </c>
      <c r="C2127" s="2">
        <v>44377</v>
      </c>
      <c r="D2127" s="3">
        <v>198</v>
      </c>
    </row>
    <row r="2128" spans="1:4" ht="14.7" hidden="1" thickBot="1" x14ac:dyDescent="0.6">
      <c r="A2128" s="1" t="s">
        <v>0</v>
      </c>
      <c r="B2128" t="str">
        <f>VLOOKUP(A2128,'Area Breakdown'!$B$1:$C$33,2,)</f>
        <v>Downtown</v>
      </c>
      <c r="C2128" s="2">
        <v>44377</v>
      </c>
      <c r="D2128" s="3">
        <v>1321.2</v>
      </c>
    </row>
    <row r="2129" spans="1:4" ht="14.7" hidden="1" thickBot="1" x14ac:dyDescent="0.6">
      <c r="A2129" s="1" t="s">
        <v>19</v>
      </c>
      <c r="B2129" t="str">
        <f>VLOOKUP(A2129,'Area Breakdown'!$B$1:$C$33,2,)</f>
        <v>Downtown</v>
      </c>
      <c r="C2129" s="2">
        <v>44377</v>
      </c>
      <c r="D2129" s="3">
        <v>1308.8000000000002</v>
      </c>
    </row>
    <row r="2130" spans="1:4" ht="14.7" hidden="1" thickBot="1" x14ac:dyDescent="0.6">
      <c r="A2130" s="1" t="s">
        <v>12</v>
      </c>
      <c r="B2130" t="str">
        <f>VLOOKUP(A2130,'Area Breakdown'!$B$1:$C$33,2,)</f>
        <v>New Cairo</v>
      </c>
      <c r="C2130" s="2">
        <v>44377</v>
      </c>
      <c r="D2130" s="3">
        <v>1756.8000000000002</v>
      </c>
    </row>
    <row r="2131" spans="1:4" ht="14.7" hidden="1" thickBot="1" x14ac:dyDescent="0.6">
      <c r="A2131" s="1" t="s">
        <v>12</v>
      </c>
      <c r="B2131" t="str">
        <f>VLOOKUP(A2131,'Area Breakdown'!$B$1:$C$33,2,)</f>
        <v>New Cairo</v>
      </c>
      <c r="C2131" s="2">
        <v>44378</v>
      </c>
      <c r="D2131" s="3">
        <v>1526</v>
      </c>
    </row>
    <row r="2132" spans="1:4" ht="14.7" hidden="1" thickBot="1" x14ac:dyDescent="0.6">
      <c r="A2132" s="1" t="s">
        <v>25</v>
      </c>
      <c r="B2132" t="str">
        <f>VLOOKUP(A2132,'Area Breakdown'!$B$1:$C$33,2,)</f>
        <v>October</v>
      </c>
      <c r="C2132" s="2">
        <v>44378</v>
      </c>
      <c r="D2132" s="3">
        <v>1254.8000000000002</v>
      </c>
    </row>
    <row r="2133" spans="1:4" ht="14.7" hidden="1" thickBot="1" x14ac:dyDescent="0.6">
      <c r="A2133" s="1" t="s">
        <v>24</v>
      </c>
      <c r="B2133" t="str">
        <f>VLOOKUP(A2133,'Area Breakdown'!$B$1:$C$33,2,)</f>
        <v>October</v>
      </c>
      <c r="C2133" s="2">
        <v>44378</v>
      </c>
      <c r="D2133" s="3">
        <v>1218.4000000000001</v>
      </c>
    </row>
    <row r="2134" spans="1:4" ht="14.7" hidden="1" thickBot="1" x14ac:dyDescent="0.6">
      <c r="A2134" s="1" t="s">
        <v>16</v>
      </c>
      <c r="B2134" t="str">
        <f>VLOOKUP(A2134,'Area Breakdown'!$B$1:$C$33,2,)</f>
        <v>Downtown</v>
      </c>
      <c r="C2134" s="2">
        <v>44378</v>
      </c>
      <c r="D2134" s="3">
        <v>1157.2</v>
      </c>
    </row>
    <row r="2135" spans="1:4" ht="14.7" hidden="1" thickBot="1" x14ac:dyDescent="0.6">
      <c r="A2135" s="1" t="s">
        <v>22</v>
      </c>
      <c r="B2135" t="str">
        <f>VLOOKUP(A2135,'Area Breakdown'!$B$1:$C$33,2,)</f>
        <v>Heliopolis</v>
      </c>
      <c r="C2135" s="2">
        <v>44378</v>
      </c>
      <c r="D2135" s="3">
        <v>1039.2</v>
      </c>
    </row>
    <row r="2136" spans="1:4" ht="14.7" hidden="1" thickBot="1" x14ac:dyDescent="0.6">
      <c r="A2136" s="1" t="s">
        <v>20</v>
      </c>
      <c r="B2136" t="str">
        <f>VLOOKUP(A2136,'Area Breakdown'!$B$1:$C$33,2,)</f>
        <v>Downtown</v>
      </c>
      <c r="C2136" s="2">
        <v>44378</v>
      </c>
      <c r="D2136" s="3">
        <v>1015.6</v>
      </c>
    </row>
    <row r="2137" spans="1:4" ht="14.7" hidden="1" thickBot="1" x14ac:dyDescent="0.6">
      <c r="A2137" s="1" t="s">
        <v>1</v>
      </c>
      <c r="B2137" t="str">
        <f>VLOOKUP(A2137,'Area Breakdown'!$B$1:$C$33,2,)</f>
        <v>Downtown</v>
      </c>
      <c r="C2137" s="2">
        <v>44378</v>
      </c>
      <c r="D2137" s="3">
        <v>975.2</v>
      </c>
    </row>
    <row r="2138" spans="1:4" ht="14.7" hidden="1" thickBot="1" x14ac:dyDescent="0.6">
      <c r="A2138" s="1" t="s">
        <v>19</v>
      </c>
      <c r="B2138" t="str">
        <f>VLOOKUP(A2138,'Area Breakdown'!$B$1:$C$33,2,)</f>
        <v>Downtown</v>
      </c>
      <c r="C2138" s="2">
        <v>44378</v>
      </c>
      <c r="D2138" s="3">
        <v>809.2</v>
      </c>
    </row>
    <row r="2139" spans="1:4" ht="14.7" hidden="1" thickBot="1" x14ac:dyDescent="0.6">
      <c r="A2139" s="1" t="s">
        <v>17</v>
      </c>
      <c r="B2139" t="str">
        <f>VLOOKUP(A2139,'Area Breakdown'!$B$1:$C$33,2,)</f>
        <v>Heliopolis</v>
      </c>
      <c r="C2139" s="2">
        <v>44378</v>
      </c>
      <c r="D2139" s="3">
        <v>774</v>
      </c>
    </row>
    <row r="2140" spans="1:4" ht="14.7" hidden="1" thickBot="1" x14ac:dyDescent="0.6">
      <c r="A2140" s="1" t="s">
        <v>15</v>
      </c>
      <c r="B2140" t="str">
        <f>VLOOKUP(A2140,'Area Breakdown'!$B$1:$C$33,2,)</f>
        <v>Heliopolis</v>
      </c>
      <c r="C2140" s="2">
        <v>44378</v>
      </c>
      <c r="D2140" s="3">
        <v>770</v>
      </c>
    </row>
    <row r="2141" spans="1:4" ht="14.7" hidden="1" thickBot="1" x14ac:dyDescent="0.6">
      <c r="A2141" s="1" t="s">
        <v>9</v>
      </c>
      <c r="B2141" t="str">
        <f>VLOOKUP(A2141,'Area Breakdown'!$B$1:$C$33,2,)</f>
        <v xml:space="preserve">Alexandria </v>
      </c>
      <c r="C2141" s="2">
        <v>44378</v>
      </c>
      <c r="D2141" s="3">
        <v>724.80000000000007</v>
      </c>
    </row>
    <row r="2142" spans="1:4" ht="14.7" hidden="1" thickBot="1" x14ac:dyDescent="0.6">
      <c r="A2142" s="1" t="s">
        <v>8</v>
      </c>
      <c r="B2142" t="str">
        <f>VLOOKUP(A2142,'Area Breakdown'!$B$1:$C$33,2,)</f>
        <v>Heliopolis</v>
      </c>
      <c r="C2142" s="2">
        <v>44378</v>
      </c>
      <c r="D2142" s="3">
        <v>604.80000000000007</v>
      </c>
    </row>
    <row r="2143" spans="1:4" ht="14.7" hidden="1" thickBot="1" x14ac:dyDescent="0.6">
      <c r="A2143" s="1" t="s">
        <v>13</v>
      </c>
      <c r="B2143" t="str">
        <f>VLOOKUP(A2143,'Area Breakdown'!$B$1:$C$33,2,)</f>
        <v>Heliopolis</v>
      </c>
      <c r="C2143" s="2">
        <v>44378</v>
      </c>
      <c r="D2143" s="3">
        <v>558.4</v>
      </c>
    </row>
    <row r="2144" spans="1:4" ht="14.7" hidden="1" thickBot="1" x14ac:dyDescent="0.6">
      <c r="A2144" s="1" t="s">
        <v>27</v>
      </c>
      <c r="B2144" t="str">
        <f>VLOOKUP(A2144,'Area Breakdown'!$B$1:$C$33,2,)</f>
        <v xml:space="preserve">Alexandria </v>
      </c>
      <c r="C2144" s="2">
        <v>44378</v>
      </c>
      <c r="D2144" s="3">
        <v>540</v>
      </c>
    </row>
    <row r="2145" spans="1:4" ht="14.7" hidden="1" thickBot="1" x14ac:dyDescent="0.6">
      <c r="A2145" s="1" t="s">
        <v>2</v>
      </c>
      <c r="B2145" t="str">
        <f>VLOOKUP(A2145,'Area Breakdown'!$B$1:$C$33,2,)</f>
        <v>Downtown</v>
      </c>
      <c r="C2145" s="2">
        <v>44378</v>
      </c>
      <c r="D2145" s="3">
        <v>537.20000000000005</v>
      </c>
    </row>
    <row r="2146" spans="1:4" ht="14.7" hidden="1" thickBot="1" x14ac:dyDescent="0.6">
      <c r="A2146" s="1" t="s">
        <v>3</v>
      </c>
      <c r="B2146" t="str">
        <f>VLOOKUP(A2146,'Area Breakdown'!$B$1:$C$33,2,)</f>
        <v>Downtown</v>
      </c>
      <c r="C2146" s="2">
        <v>44378</v>
      </c>
      <c r="D2146" s="3">
        <v>533.20000000000005</v>
      </c>
    </row>
    <row r="2147" spans="1:4" ht="14.7" hidden="1" thickBot="1" x14ac:dyDescent="0.6">
      <c r="A2147" s="1" t="s">
        <v>21</v>
      </c>
      <c r="B2147" t="str">
        <f>VLOOKUP(A2147,'Area Breakdown'!$B$1:$C$33,2,)</f>
        <v>Heliopolis</v>
      </c>
      <c r="C2147" s="2">
        <v>44378</v>
      </c>
      <c r="D2147" s="3">
        <v>520</v>
      </c>
    </row>
    <row r="2148" spans="1:4" ht="14.7" hidden="1" thickBot="1" x14ac:dyDescent="0.6">
      <c r="A2148" s="1" t="s">
        <v>10</v>
      </c>
      <c r="B2148" t="str">
        <f>VLOOKUP(A2148,'Area Breakdown'!$B$1:$C$33,2,)</f>
        <v xml:space="preserve">Alexandria </v>
      </c>
      <c r="C2148" s="2">
        <v>44378</v>
      </c>
      <c r="D2148" s="3">
        <v>490.40000000000003</v>
      </c>
    </row>
    <row r="2149" spans="1:4" ht="14.7" hidden="1" thickBot="1" x14ac:dyDescent="0.6">
      <c r="A2149" s="1" t="s">
        <v>11</v>
      </c>
      <c r="B2149" t="str">
        <f>VLOOKUP(A2149,'Area Breakdown'!$B$1:$C$33,2,)</f>
        <v>New Cairo</v>
      </c>
      <c r="C2149" s="2">
        <v>44378</v>
      </c>
      <c r="D2149" s="3">
        <v>487.20000000000005</v>
      </c>
    </row>
    <row r="2150" spans="1:4" ht="14.7" hidden="1" thickBot="1" x14ac:dyDescent="0.6">
      <c r="A2150" s="1" t="s">
        <v>30</v>
      </c>
      <c r="B2150" t="str">
        <f>VLOOKUP(A2150,'Area Breakdown'!$B$1:$C$33,2,)</f>
        <v>October</v>
      </c>
      <c r="C2150" s="2">
        <v>44378</v>
      </c>
      <c r="D2150" s="3">
        <v>484.40000000000003</v>
      </c>
    </row>
    <row r="2151" spans="1:4" ht="14.7" hidden="1" thickBot="1" x14ac:dyDescent="0.6">
      <c r="A2151" s="1" t="s">
        <v>0</v>
      </c>
      <c r="B2151" t="str">
        <f>VLOOKUP(A2151,'Area Breakdown'!$B$1:$C$33,2,)</f>
        <v>Downtown</v>
      </c>
      <c r="C2151" s="2">
        <v>44378</v>
      </c>
      <c r="D2151" s="3">
        <v>385.20000000000005</v>
      </c>
    </row>
    <row r="2152" spans="1:4" ht="14.7" hidden="1" thickBot="1" x14ac:dyDescent="0.6">
      <c r="A2152" s="1" t="s">
        <v>7</v>
      </c>
      <c r="B2152" t="str">
        <f>VLOOKUP(A2152,'Area Breakdown'!$B$1:$C$33,2,)</f>
        <v>October</v>
      </c>
      <c r="C2152" s="2">
        <v>44378</v>
      </c>
      <c r="D2152" s="3">
        <v>367.6</v>
      </c>
    </row>
    <row r="2153" spans="1:4" ht="14.7" hidden="1" thickBot="1" x14ac:dyDescent="0.6">
      <c r="A2153" s="1" t="s">
        <v>6</v>
      </c>
      <c r="B2153" t="str">
        <f>VLOOKUP(A2153,'Area Breakdown'!$B$1:$C$33,2,)</f>
        <v xml:space="preserve">Alexandria </v>
      </c>
      <c r="C2153" s="2">
        <v>44378</v>
      </c>
      <c r="D2153" s="3">
        <v>291.2</v>
      </c>
    </row>
    <row r="2154" spans="1:4" ht="14.7" hidden="1" thickBot="1" x14ac:dyDescent="0.6">
      <c r="A2154" s="1" t="s">
        <v>4</v>
      </c>
      <c r="B2154" t="str">
        <f>VLOOKUP(A2154,'Area Breakdown'!$B$1:$C$33,2,)</f>
        <v>Downtown</v>
      </c>
      <c r="C2154" s="2">
        <v>44378</v>
      </c>
      <c r="D2154" s="3">
        <v>228.8</v>
      </c>
    </row>
    <row r="2155" spans="1:4" ht="14.7" hidden="1" thickBot="1" x14ac:dyDescent="0.6">
      <c r="A2155" s="1" t="s">
        <v>23</v>
      </c>
      <c r="B2155" t="str">
        <f>VLOOKUP(A2155,'Area Breakdown'!$B$1:$C$33,2,)</f>
        <v>Heliopolis</v>
      </c>
      <c r="C2155" s="2">
        <v>44378</v>
      </c>
      <c r="D2155" s="3">
        <v>225.60000000000002</v>
      </c>
    </row>
    <row r="2156" spans="1:4" ht="14.7" hidden="1" thickBot="1" x14ac:dyDescent="0.6">
      <c r="A2156" s="1" t="s">
        <v>12</v>
      </c>
      <c r="B2156" t="str">
        <f>VLOOKUP(A2156,'Area Breakdown'!$B$1:$C$33,2,)</f>
        <v>New Cairo</v>
      </c>
      <c r="C2156" s="2">
        <v>44379</v>
      </c>
      <c r="D2156" s="3">
        <v>1383.6000000000001</v>
      </c>
    </row>
    <row r="2157" spans="1:4" ht="14.7" hidden="1" thickBot="1" x14ac:dyDescent="0.6">
      <c r="A2157" s="1" t="s">
        <v>22</v>
      </c>
      <c r="B2157" t="str">
        <f>VLOOKUP(A2157,'Area Breakdown'!$B$1:$C$33,2,)</f>
        <v>Heliopolis</v>
      </c>
      <c r="C2157" s="2">
        <v>44379</v>
      </c>
      <c r="D2157" s="3">
        <v>1192.8</v>
      </c>
    </row>
    <row r="2158" spans="1:4" ht="14.7" hidden="1" thickBot="1" x14ac:dyDescent="0.6">
      <c r="A2158" s="1" t="s">
        <v>16</v>
      </c>
      <c r="B2158" t="str">
        <f>VLOOKUP(A2158,'Area Breakdown'!$B$1:$C$33,2,)</f>
        <v>Downtown</v>
      </c>
      <c r="C2158" s="2">
        <v>44379</v>
      </c>
      <c r="D2158" s="3">
        <v>1112.8</v>
      </c>
    </row>
    <row r="2159" spans="1:4" ht="14.7" hidden="1" thickBot="1" x14ac:dyDescent="0.6">
      <c r="A2159" s="1" t="s">
        <v>24</v>
      </c>
      <c r="B2159" t="str">
        <f>VLOOKUP(A2159,'Area Breakdown'!$B$1:$C$33,2,)</f>
        <v>October</v>
      </c>
      <c r="C2159" s="2">
        <v>44379</v>
      </c>
      <c r="D2159" s="3">
        <v>935.2</v>
      </c>
    </row>
    <row r="2160" spans="1:4" ht="14.7" hidden="1" thickBot="1" x14ac:dyDescent="0.6">
      <c r="A2160" s="1" t="s">
        <v>19</v>
      </c>
      <c r="B2160" t="str">
        <f>VLOOKUP(A2160,'Area Breakdown'!$B$1:$C$33,2,)</f>
        <v>Downtown</v>
      </c>
      <c r="C2160" s="2">
        <v>44379</v>
      </c>
      <c r="D2160" s="3">
        <v>864.40000000000009</v>
      </c>
    </row>
    <row r="2161" spans="1:4" ht="14.7" hidden="1" thickBot="1" x14ac:dyDescent="0.6">
      <c r="A2161" s="1" t="s">
        <v>21</v>
      </c>
      <c r="B2161" t="str">
        <f>VLOOKUP(A2161,'Area Breakdown'!$B$1:$C$33,2,)</f>
        <v>Heliopolis</v>
      </c>
      <c r="C2161" s="2">
        <v>44379</v>
      </c>
      <c r="D2161" s="3">
        <v>752.80000000000007</v>
      </c>
    </row>
    <row r="2162" spans="1:4" ht="14.7" hidden="1" thickBot="1" x14ac:dyDescent="0.6">
      <c r="A2162" s="1" t="s">
        <v>20</v>
      </c>
      <c r="B2162" t="str">
        <f>VLOOKUP(A2162,'Area Breakdown'!$B$1:$C$33,2,)</f>
        <v>Downtown</v>
      </c>
      <c r="C2162" s="2">
        <v>44379</v>
      </c>
      <c r="D2162" s="3">
        <v>658.40000000000009</v>
      </c>
    </row>
    <row r="2163" spans="1:4" ht="14.7" hidden="1" thickBot="1" x14ac:dyDescent="0.6">
      <c r="A2163" s="1" t="s">
        <v>0</v>
      </c>
      <c r="B2163" t="str">
        <f>VLOOKUP(A2163,'Area Breakdown'!$B$1:$C$33,2,)</f>
        <v>Downtown</v>
      </c>
      <c r="C2163" s="2">
        <v>44379</v>
      </c>
      <c r="D2163" s="3">
        <v>623.6</v>
      </c>
    </row>
    <row r="2164" spans="1:4" ht="14.7" hidden="1" thickBot="1" x14ac:dyDescent="0.6">
      <c r="A2164" s="1" t="s">
        <v>25</v>
      </c>
      <c r="B2164" t="str">
        <f>VLOOKUP(A2164,'Area Breakdown'!$B$1:$C$33,2,)</f>
        <v>October</v>
      </c>
      <c r="C2164" s="2">
        <v>44379</v>
      </c>
      <c r="D2164" s="3">
        <v>584</v>
      </c>
    </row>
    <row r="2165" spans="1:4" ht="14.7" hidden="1" thickBot="1" x14ac:dyDescent="0.6">
      <c r="A2165" s="1" t="s">
        <v>27</v>
      </c>
      <c r="B2165" t="str">
        <f>VLOOKUP(A2165,'Area Breakdown'!$B$1:$C$33,2,)</f>
        <v xml:space="preserve">Alexandria </v>
      </c>
      <c r="C2165" s="2">
        <v>44379</v>
      </c>
      <c r="D2165" s="3">
        <v>541.6</v>
      </c>
    </row>
    <row r="2166" spans="1:4" ht="14.7" hidden="1" thickBot="1" x14ac:dyDescent="0.6">
      <c r="A2166" s="1" t="s">
        <v>9</v>
      </c>
      <c r="B2166" t="str">
        <f>VLOOKUP(A2166,'Area Breakdown'!$B$1:$C$33,2,)</f>
        <v xml:space="preserve">Alexandria </v>
      </c>
      <c r="C2166" s="2">
        <v>44379</v>
      </c>
      <c r="D2166" s="3">
        <v>539.6</v>
      </c>
    </row>
    <row r="2167" spans="1:4" ht="14.7" hidden="1" thickBot="1" x14ac:dyDescent="0.6">
      <c r="A2167" s="1" t="s">
        <v>11</v>
      </c>
      <c r="B2167" t="str">
        <f>VLOOKUP(A2167,'Area Breakdown'!$B$1:$C$33,2,)</f>
        <v>New Cairo</v>
      </c>
      <c r="C2167" s="2">
        <v>44379</v>
      </c>
      <c r="D2167" s="3">
        <v>474</v>
      </c>
    </row>
    <row r="2168" spans="1:4" ht="14.7" hidden="1" thickBot="1" x14ac:dyDescent="0.6">
      <c r="A2168" s="1" t="s">
        <v>6</v>
      </c>
      <c r="B2168" t="str">
        <f>VLOOKUP(A2168,'Area Breakdown'!$B$1:$C$33,2,)</f>
        <v xml:space="preserve">Alexandria </v>
      </c>
      <c r="C2168" s="2">
        <v>44379</v>
      </c>
      <c r="D2168" s="3">
        <v>471.20000000000005</v>
      </c>
    </row>
    <row r="2169" spans="1:4" ht="14.7" hidden="1" thickBot="1" x14ac:dyDescent="0.6">
      <c r="A2169" s="1" t="s">
        <v>3</v>
      </c>
      <c r="B2169" t="str">
        <f>VLOOKUP(A2169,'Area Breakdown'!$B$1:$C$33,2,)</f>
        <v>Downtown</v>
      </c>
      <c r="C2169" s="2">
        <v>44379</v>
      </c>
      <c r="D2169" s="3">
        <v>468.40000000000003</v>
      </c>
    </row>
    <row r="2170" spans="1:4" ht="14.7" hidden="1" thickBot="1" x14ac:dyDescent="0.6">
      <c r="A2170" s="1" t="s">
        <v>2</v>
      </c>
      <c r="B2170" t="str">
        <f>VLOOKUP(A2170,'Area Breakdown'!$B$1:$C$33,2,)</f>
        <v>Downtown</v>
      </c>
      <c r="C2170" s="2">
        <v>44379</v>
      </c>
      <c r="D2170" s="3">
        <v>461.20000000000005</v>
      </c>
    </row>
    <row r="2171" spans="1:4" ht="14.7" hidden="1" thickBot="1" x14ac:dyDescent="0.6">
      <c r="A2171" s="1" t="s">
        <v>15</v>
      </c>
      <c r="B2171" t="str">
        <f>VLOOKUP(A2171,'Area Breakdown'!$B$1:$C$33,2,)</f>
        <v>Heliopolis</v>
      </c>
      <c r="C2171" s="2">
        <v>44379</v>
      </c>
      <c r="D2171" s="3">
        <v>436</v>
      </c>
    </row>
    <row r="2172" spans="1:4" ht="14.7" hidden="1" thickBot="1" x14ac:dyDescent="0.6">
      <c r="A2172" s="1" t="s">
        <v>13</v>
      </c>
      <c r="B2172" t="str">
        <f>VLOOKUP(A2172,'Area Breakdown'!$B$1:$C$33,2,)</f>
        <v>Heliopolis</v>
      </c>
      <c r="C2172" s="2">
        <v>44379</v>
      </c>
      <c r="D2172" s="3">
        <v>424</v>
      </c>
    </row>
    <row r="2173" spans="1:4" ht="14.7" hidden="1" thickBot="1" x14ac:dyDescent="0.6">
      <c r="A2173" s="1" t="s">
        <v>17</v>
      </c>
      <c r="B2173" t="str">
        <f>VLOOKUP(A2173,'Area Breakdown'!$B$1:$C$33,2,)</f>
        <v>Heliopolis</v>
      </c>
      <c r="C2173" s="2">
        <v>44379</v>
      </c>
      <c r="D2173" s="3">
        <v>405.6</v>
      </c>
    </row>
    <row r="2174" spans="1:4" ht="14.7" hidden="1" thickBot="1" x14ac:dyDescent="0.6">
      <c r="A2174" s="1" t="s">
        <v>30</v>
      </c>
      <c r="B2174" t="str">
        <f>VLOOKUP(A2174,'Area Breakdown'!$B$1:$C$33,2,)</f>
        <v>October</v>
      </c>
      <c r="C2174" s="2">
        <v>44379</v>
      </c>
      <c r="D2174" s="3">
        <v>392.40000000000003</v>
      </c>
    </row>
    <row r="2175" spans="1:4" ht="14.7" hidden="1" thickBot="1" x14ac:dyDescent="0.6">
      <c r="A2175" s="1" t="s">
        <v>1</v>
      </c>
      <c r="B2175" t="str">
        <f>VLOOKUP(A2175,'Area Breakdown'!$B$1:$C$33,2,)</f>
        <v>Downtown</v>
      </c>
      <c r="C2175" s="2">
        <v>44379</v>
      </c>
      <c r="D2175" s="3">
        <v>382.8</v>
      </c>
    </row>
    <row r="2176" spans="1:4" ht="14.7" hidden="1" thickBot="1" x14ac:dyDescent="0.6">
      <c r="A2176" s="1" t="s">
        <v>8</v>
      </c>
      <c r="B2176" t="str">
        <f>VLOOKUP(A2176,'Area Breakdown'!$B$1:$C$33,2,)</f>
        <v>Heliopolis</v>
      </c>
      <c r="C2176" s="2">
        <v>44379</v>
      </c>
      <c r="D2176" s="3">
        <v>288.8</v>
      </c>
    </row>
    <row r="2177" spans="1:4" ht="14.7" hidden="1" thickBot="1" x14ac:dyDescent="0.6">
      <c r="A2177" s="1" t="s">
        <v>7</v>
      </c>
      <c r="B2177" t="str">
        <f>VLOOKUP(A2177,'Area Breakdown'!$B$1:$C$33,2,)</f>
        <v>October</v>
      </c>
      <c r="C2177" s="2">
        <v>44379</v>
      </c>
      <c r="D2177" s="3">
        <v>283.2</v>
      </c>
    </row>
    <row r="2178" spans="1:4" ht="14.7" hidden="1" thickBot="1" x14ac:dyDescent="0.6">
      <c r="A2178" s="1" t="s">
        <v>4</v>
      </c>
      <c r="B2178" t="str">
        <f>VLOOKUP(A2178,'Area Breakdown'!$B$1:$C$33,2,)</f>
        <v>Downtown</v>
      </c>
      <c r="C2178" s="2">
        <v>44379</v>
      </c>
      <c r="D2178" s="3">
        <v>179.60000000000002</v>
      </c>
    </row>
    <row r="2179" spans="1:4" ht="14.7" hidden="1" thickBot="1" x14ac:dyDescent="0.6">
      <c r="A2179" s="1" t="s">
        <v>23</v>
      </c>
      <c r="B2179" t="str">
        <f>VLOOKUP(A2179,'Area Breakdown'!$B$1:$C$33,2,)</f>
        <v>Heliopolis</v>
      </c>
      <c r="C2179" s="2">
        <v>44379</v>
      </c>
      <c r="D2179" s="3">
        <v>159.20000000000002</v>
      </c>
    </row>
    <row r="2180" spans="1:4" ht="14.7" hidden="1" thickBot="1" x14ac:dyDescent="0.6">
      <c r="A2180" s="1" t="s">
        <v>10</v>
      </c>
      <c r="B2180" t="str">
        <f>VLOOKUP(A2180,'Area Breakdown'!$B$1:$C$33,2,)</f>
        <v xml:space="preserve">Alexandria </v>
      </c>
      <c r="C2180" s="2">
        <v>44379</v>
      </c>
      <c r="D2180" s="3">
        <v>94.800000000000011</v>
      </c>
    </row>
    <row r="2181" spans="1:4" ht="14.7" hidden="1" thickBot="1" x14ac:dyDescent="0.6">
      <c r="A2181" s="1" t="s">
        <v>21</v>
      </c>
      <c r="B2181" t="str">
        <f>VLOOKUP(A2181,'Area Breakdown'!$B$1:$C$33,2,)</f>
        <v>Heliopolis</v>
      </c>
      <c r="C2181" s="2">
        <v>44380</v>
      </c>
      <c r="D2181" s="3">
        <v>1426.4</v>
      </c>
    </row>
    <row r="2182" spans="1:4" ht="14.7" hidden="1" thickBot="1" x14ac:dyDescent="0.6">
      <c r="A2182" s="1" t="s">
        <v>16</v>
      </c>
      <c r="B2182" t="str">
        <f>VLOOKUP(A2182,'Area Breakdown'!$B$1:$C$33,2,)</f>
        <v>Downtown</v>
      </c>
      <c r="C2182" s="2">
        <v>44380</v>
      </c>
      <c r="D2182" s="3">
        <v>1124</v>
      </c>
    </row>
    <row r="2183" spans="1:4" ht="14.7" hidden="1" thickBot="1" x14ac:dyDescent="0.6">
      <c r="A2183" s="1" t="s">
        <v>19</v>
      </c>
      <c r="B2183" t="str">
        <f>VLOOKUP(A2183,'Area Breakdown'!$B$1:$C$33,2,)</f>
        <v>Downtown</v>
      </c>
      <c r="C2183" s="2">
        <v>44380</v>
      </c>
      <c r="D2183" s="3">
        <v>918.40000000000009</v>
      </c>
    </row>
    <row r="2184" spans="1:4" ht="14.7" hidden="1" thickBot="1" x14ac:dyDescent="0.6">
      <c r="A2184" s="1" t="s">
        <v>24</v>
      </c>
      <c r="B2184" t="str">
        <f>VLOOKUP(A2184,'Area Breakdown'!$B$1:$C$33,2,)</f>
        <v>October</v>
      </c>
      <c r="C2184" s="2">
        <v>44380</v>
      </c>
      <c r="D2184" s="3">
        <v>859.2</v>
      </c>
    </row>
    <row r="2185" spans="1:4" ht="14.7" hidden="1" thickBot="1" x14ac:dyDescent="0.6">
      <c r="A2185" s="1" t="s">
        <v>12</v>
      </c>
      <c r="B2185" t="str">
        <f>VLOOKUP(A2185,'Area Breakdown'!$B$1:$C$33,2,)</f>
        <v>New Cairo</v>
      </c>
      <c r="C2185" s="2">
        <v>44380</v>
      </c>
      <c r="D2185" s="3">
        <v>818.80000000000007</v>
      </c>
    </row>
    <row r="2186" spans="1:4" ht="14.7" hidden="1" thickBot="1" x14ac:dyDescent="0.6">
      <c r="A2186" s="1" t="s">
        <v>0</v>
      </c>
      <c r="B2186" t="str">
        <f>VLOOKUP(A2186,'Area Breakdown'!$B$1:$C$33,2,)</f>
        <v>Downtown</v>
      </c>
      <c r="C2186" s="2">
        <v>44380</v>
      </c>
      <c r="D2186" s="3">
        <v>794.80000000000007</v>
      </c>
    </row>
    <row r="2187" spans="1:4" ht="14.7" hidden="1" thickBot="1" x14ac:dyDescent="0.6">
      <c r="A2187" s="1" t="s">
        <v>10</v>
      </c>
      <c r="B2187" t="str">
        <f>VLOOKUP(A2187,'Area Breakdown'!$B$1:$C$33,2,)</f>
        <v xml:space="preserve">Alexandria </v>
      </c>
      <c r="C2187" s="2">
        <v>44380</v>
      </c>
      <c r="D2187" s="3">
        <v>728.40000000000009</v>
      </c>
    </row>
    <row r="2188" spans="1:4" ht="14.7" hidden="1" thickBot="1" x14ac:dyDescent="0.6">
      <c r="A2188" s="1" t="s">
        <v>22</v>
      </c>
      <c r="B2188" t="str">
        <f>VLOOKUP(A2188,'Area Breakdown'!$B$1:$C$33,2,)</f>
        <v>Heliopolis</v>
      </c>
      <c r="C2188" s="2">
        <v>44380</v>
      </c>
      <c r="D2188" s="3">
        <v>650.80000000000007</v>
      </c>
    </row>
    <row r="2189" spans="1:4" ht="14.7" hidden="1" thickBot="1" x14ac:dyDescent="0.6">
      <c r="A2189" s="1" t="s">
        <v>7</v>
      </c>
      <c r="B2189" t="str">
        <f>VLOOKUP(A2189,'Area Breakdown'!$B$1:$C$33,2,)</f>
        <v>October</v>
      </c>
      <c r="C2189" s="2">
        <v>44380</v>
      </c>
      <c r="D2189" s="3">
        <v>601.20000000000005</v>
      </c>
    </row>
    <row r="2190" spans="1:4" ht="14.7" hidden="1" thickBot="1" x14ac:dyDescent="0.6">
      <c r="A2190" s="1" t="s">
        <v>27</v>
      </c>
      <c r="B2190" t="str">
        <f>VLOOKUP(A2190,'Area Breakdown'!$B$1:$C$33,2,)</f>
        <v xml:space="preserve">Alexandria </v>
      </c>
      <c r="C2190" s="2">
        <v>44380</v>
      </c>
      <c r="D2190" s="3">
        <v>548.4</v>
      </c>
    </row>
    <row r="2191" spans="1:4" ht="14.7" hidden="1" thickBot="1" x14ac:dyDescent="0.6">
      <c r="A2191" s="1" t="s">
        <v>1</v>
      </c>
      <c r="B2191" t="str">
        <f>VLOOKUP(A2191,'Area Breakdown'!$B$1:$C$33,2,)</f>
        <v>Downtown</v>
      </c>
      <c r="C2191" s="2">
        <v>44380</v>
      </c>
      <c r="D2191" s="3">
        <v>515.20000000000005</v>
      </c>
    </row>
    <row r="2192" spans="1:4" ht="14.7" hidden="1" thickBot="1" x14ac:dyDescent="0.6">
      <c r="A2192" s="1" t="s">
        <v>3</v>
      </c>
      <c r="B2192" t="str">
        <f>VLOOKUP(A2192,'Area Breakdown'!$B$1:$C$33,2,)</f>
        <v>Downtown</v>
      </c>
      <c r="C2192" s="2">
        <v>44380</v>
      </c>
      <c r="D2192" s="3">
        <v>496</v>
      </c>
    </row>
    <row r="2193" spans="1:4" ht="14.7" hidden="1" thickBot="1" x14ac:dyDescent="0.6">
      <c r="A2193" s="1" t="s">
        <v>11</v>
      </c>
      <c r="B2193" t="str">
        <f>VLOOKUP(A2193,'Area Breakdown'!$B$1:$C$33,2,)</f>
        <v>New Cairo</v>
      </c>
      <c r="C2193" s="2">
        <v>44380</v>
      </c>
      <c r="D2193" s="3">
        <v>490.8</v>
      </c>
    </row>
    <row r="2194" spans="1:4" ht="14.7" hidden="1" thickBot="1" x14ac:dyDescent="0.6">
      <c r="A2194" s="1" t="s">
        <v>30</v>
      </c>
      <c r="B2194" t="str">
        <f>VLOOKUP(A2194,'Area Breakdown'!$B$1:$C$33,2,)</f>
        <v>October</v>
      </c>
      <c r="C2194" s="2">
        <v>44380</v>
      </c>
      <c r="D2194" s="3">
        <v>488.8</v>
      </c>
    </row>
    <row r="2195" spans="1:4" ht="14.7" hidden="1" thickBot="1" x14ac:dyDescent="0.6">
      <c r="A2195" s="1" t="s">
        <v>25</v>
      </c>
      <c r="B2195" t="str">
        <f>VLOOKUP(A2195,'Area Breakdown'!$B$1:$C$33,2,)</f>
        <v>October</v>
      </c>
      <c r="C2195" s="2">
        <v>44380</v>
      </c>
      <c r="D2195" s="3">
        <v>483.6</v>
      </c>
    </row>
    <row r="2196" spans="1:4" ht="14.7" hidden="1" thickBot="1" x14ac:dyDescent="0.6">
      <c r="A2196" s="1" t="s">
        <v>20</v>
      </c>
      <c r="B2196" t="str">
        <f>VLOOKUP(A2196,'Area Breakdown'!$B$1:$C$33,2,)</f>
        <v>Downtown</v>
      </c>
      <c r="C2196" s="2">
        <v>44380</v>
      </c>
      <c r="D2196" s="3">
        <v>463.6</v>
      </c>
    </row>
    <row r="2197" spans="1:4" ht="14.7" hidden="1" thickBot="1" x14ac:dyDescent="0.6">
      <c r="A2197" s="1" t="s">
        <v>15</v>
      </c>
      <c r="B2197" t="str">
        <f>VLOOKUP(A2197,'Area Breakdown'!$B$1:$C$33,2,)</f>
        <v>Heliopolis</v>
      </c>
      <c r="C2197" s="2">
        <v>44380</v>
      </c>
      <c r="D2197" s="3">
        <v>458</v>
      </c>
    </row>
    <row r="2198" spans="1:4" ht="14.7" hidden="1" thickBot="1" x14ac:dyDescent="0.6">
      <c r="A2198" s="1" t="s">
        <v>13</v>
      </c>
      <c r="B2198" t="str">
        <f>VLOOKUP(A2198,'Area Breakdown'!$B$1:$C$33,2,)</f>
        <v>Heliopolis</v>
      </c>
      <c r="C2198" s="2">
        <v>44380</v>
      </c>
      <c r="D2198" s="3">
        <v>457.6</v>
      </c>
    </row>
    <row r="2199" spans="1:4" ht="14.7" hidden="1" thickBot="1" x14ac:dyDescent="0.6">
      <c r="A2199" s="1" t="s">
        <v>8</v>
      </c>
      <c r="B2199" t="str">
        <f>VLOOKUP(A2199,'Area Breakdown'!$B$1:$C$33,2,)</f>
        <v>Heliopolis</v>
      </c>
      <c r="C2199" s="2">
        <v>44380</v>
      </c>
      <c r="D2199" s="3">
        <v>342.40000000000003</v>
      </c>
    </row>
    <row r="2200" spans="1:4" ht="14.7" hidden="1" thickBot="1" x14ac:dyDescent="0.6">
      <c r="A2200" s="1" t="s">
        <v>4</v>
      </c>
      <c r="B2200" t="str">
        <f>VLOOKUP(A2200,'Area Breakdown'!$B$1:$C$33,2,)</f>
        <v>Downtown</v>
      </c>
      <c r="C2200" s="2">
        <v>44380</v>
      </c>
      <c r="D2200" s="3">
        <v>305.2</v>
      </c>
    </row>
    <row r="2201" spans="1:4" ht="14.7" hidden="1" thickBot="1" x14ac:dyDescent="0.6">
      <c r="A2201" s="1" t="s">
        <v>9</v>
      </c>
      <c r="B2201" t="str">
        <f>VLOOKUP(A2201,'Area Breakdown'!$B$1:$C$33,2,)</f>
        <v xml:space="preserve">Alexandria </v>
      </c>
      <c r="C2201" s="2">
        <v>44380</v>
      </c>
      <c r="D2201" s="3">
        <v>254</v>
      </c>
    </row>
    <row r="2202" spans="1:4" ht="14.7" hidden="1" thickBot="1" x14ac:dyDescent="0.6">
      <c r="A2202" s="1" t="s">
        <v>17</v>
      </c>
      <c r="B2202" t="str">
        <f>VLOOKUP(A2202,'Area Breakdown'!$B$1:$C$33,2,)</f>
        <v>Heliopolis</v>
      </c>
      <c r="C2202" s="2">
        <v>44380</v>
      </c>
      <c r="D2202" s="3">
        <v>237.20000000000002</v>
      </c>
    </row>
    <row r="2203" spans="1:4" ht="14.7" hidden="1" thickBot="1" x14ac:dyDescent="0.6">
      <c r="A2203" s="1" t="s">
        <v>23</v>
      </c>
      <c r="B2203" t="str">
        <f>VLOOKUP(A2203,'Area Breakdown'!$B$1:$C$33,2,)</f>
        <v>Heliopolis</v>
      </c>
      <c r="C2203" s="2">
        <v>44380</v>
      </c>
      <c r="D2203" s="3">
        <v>233.60000000000002</v>
      </c>
    </row>
    <row r="2204" spans="1:4" ht="14.7" hidden="1" thickBot="1" x14ac:dyDescent="0.6">
      <c r="A2204" s="1" t="s">
        <v>6</v>
      </c>
      <c r="B2204" t="str">
        <f>VLOOKUP(A2204,'Area Breakdown'!$B$1:$C$33,2,)</f>
        <v xml:space="preserve">Alexandria </v>
      </c>
      <c r="C2204" s="2">
        <v>44380</v>
      </c>
      <c r="D2204" s="3">
        <v>54</v>
      </c>
    </row>
    <row r="2205" spans="1:4" ht="14.7" hidden="1" thickBot="1" x14ac:dyDescent="0.6">
      <c r="A2205" s="1" t="s">
        <v>19</v>
      </c>
      <c r="B2205" t="str">
        <f>VLOOKUP(A2205,'Area Breakdown'!$B$1:$C$33,2,)</f>
        <v>Downtown</v>
      </c>
      <c r="C2205" s="2">
        <v>44381</v>
      </c>
      <c r="D2205" s="3">
        <v>1386.8000000000002</v>
      </c>
    </row>
    <row r="2206" spans="1:4" ht="14.7" hidden="1" thickBot="1" x14ac:dyDescent="0.6">
      <c r="A2206" s="1" t="s">
        <v>21</v>
      </c>
      <c r="B2206" t="str">
        <f>VLOOKUP(A2206,'Area Breakdown'!$B$1:$C$33,2,)</f>
        <v>Heliopolis</v>
      </c>
      <c r="C2206" s="2">
        <v>44381</v>
      </c>
      <c r="D2206" s="3">
        <v>1258</v>
      </c>
    </row>
    <row r="2207" spans="1:4" ht="14.7" hidden="1" thickBot="1" x14ac:dyDescent="0.6">
      <c r="A2207" s="1" t="s">
        <v>1</v>
      </c>
      <c r="B2207" t="str">
        <f>VLOOKUP(A2207,'Area Breakdown'!$B$1:$C$33,2,)</f>
        <v>Downtown</v>
      </c>
      <c r="C2207" s="2">
        <v>44381</v>
      </c>
      <c r="D2207" s="3">
        <v>1255.2</v>
      </c>
    </row>
    <row r="2208" spans="1:4" ht="14.7" hidden="1" thickBot="1" x14ac:dyDescent="0.6">
      <c r="A2208" s="1" t="s">
        <v>11</v>
      </c>
      <c r="B2208" t="str">
        <f>VLOOKUP(A2208,'Area Breakdown'!$B$1:$C$33,2,)</f>
        <v>New Cairo</v>
      </c>
      <c r="C2208" s="2">
        <v>44381</v>
      </c>
      <c r="D2208" s="3">
        <v>1216</v>
      </c>
    </row>
    <row r="2209" spans="1:4" ht="14.7" hidden="1" thickBot="1" x14ac:dyDescent="0.6">
      <c r="A2209" s="1" t="s">
        <v>20</v>
      </c>
      <c r="B2209" t="str">
        <f>VLOOKUP(A2209,'Area Breakdown'!$B$1:$C$33,2,)</f>
        <v>Downtown</v>
      </c>
      <c r="C2209" s="2">
        <v>44381</v>
      </c>
      <c r="D2209" s="3">
        <v>1118</v>
      </c>
    </row>
    <row r="2210" spans="1:4" ht="14.7" hidden="1" thickBot="1" x14ac:dyDescent="0.6">
      <c r="A2210" s="1" t="s">
        <v>0</v>
      </c>
      <c r="B2210" t="str">
        <f>VLOOKUP(A2210,'Area Breakdown'!$B$1:$C$33,2,)</f>
        <v>Downtown</v>
      </c>
      <c r="C2210" s="2">
        <v>44381</v>
      </c>
      <c r="D2210" s="3">
        <v>1045.2</v>
      </c>
    </row>
    <row r="2211" spans="1:4" ht="14.7" hidden="1" thickBot="1" x14ac:dyDescent="0.6">
      <c r="A2211" s="1" t="s">
        <v>13</v>
      </c>
      <c r="B2211" t="str">
        <f>VLOOKUP(A2211,'Area Breakdown'!$B$1:$C$33,2,)</f>
        <v>Heliopolis</v>
      </c>
      <c r="C2211" s="2">
        <v>44381</v>
      </c>
      <c r="D2211" s="3">
        <v>960</v>
      </c>
    </row>
    <row r="2212" spans="1:4" ht="14.7" hidden="1" thickBot="1" x14ac:dyDescent="0.6">
      <c r="A2212" s="1" t="s">
        <v>24</v>
      </c>
      <c r="B2212" t="str">
        <f>VLOOKUP(A2212,'Area Breakdown'!$B$1:$C$33,2,)</f>
        <v>October</v>
      </c>
      <c r="C2212" s="2">
        <v>44381</v>
      </c>
      <c r="D2212" s="3">
        <v>947.6</v>
      </c>
    </row>
    <row r="2213" spans="1:4" ht="14.7" hidden="1" thickBot="1" x14ac:dyDescent="0.6">
      <c r="A2213" s="1" t="s">
        <v>27</v>
      </c>
      <c r="B2213" t="str">
        <f>VLOOKUP(A2213,'Area Breakdown'!$B$1:$C$33,2,)</f>
        <v xml:space="preserve">Alexandria </v>
      </c>
      <c r="C2213" s="2">
        <v>44381</v>
      </c>
      <c r="D2213" s="3">
        <v>942</v>
      </c>
    </row>
    <row r="2214" spans="1:4" ht="14.7" hidden="1" thickBot="1" x14ac:dyDescent="0.6">
      <c r="A2214" s="1" t="s">
        <v>17</v>
      </c>
      <c r="B2214" t="str">
        <f>VLOOKUP(A2214,'Area Breakdown'!$B$1:$C$33,2,)</f>
        <v>Heliopolis</v>
      </c>
      <c r="C2214" s="2">
        <v>44381</v>
      </c>
      <c r="D2214" s="3">
        <v>838</v>
      </c>
    </row>
    <row r="2215" spans="1:4" ht="14.7" hidden="1" thickBot="1" x14ac:dyDescent="0.6">
      <c r="A2215" s="1" t="s">
        <v>25</v>
      </c>
      <c r="B2215" t="str">
        <f>VLOOKUP(A2215,'Area Breakdown'!$B$1:$C$33,2,)</f>
        <v>October</v>
      </c>
      <c r="C2215" s="2">
        <v>44381</v>
      </c>
      <c r="D2215" s="3">
        <v>824</v>
      </c>
    </row>
    <row r="2216" spans="1:4" ht="14.7" hidden="1" thickBot="1" x14ac:dyDescent="0.6">
      <c r="A2216" s="1" t="s">
        <v>3</v>
      </c>
      <c r="B2216" t="str">
        <f>VLOOKUP(A2216,'Area Breakdown'!$B$1:$C$33,2,)</f>
        <v>Downtown</v>
      </c>
      <c r="C2216" s="2">
        <v>44381</v>
      </c>
      <c r="D2216" s="3">
        <v>782.80000000000007</v>
      </c>
    </row>
    <row r="2217" spans="1:4" ht="14.7" hidden="1" thickBot="1" x14ac:dyDescent="0.6">
      <c r="A2217" s="1" t="s">
        <v>8</v>
      </c>
      <c r="B2217" t="str">
        <f>VLOOKUP(A2217,'Area Breakdown'!$B$1:$C$33,2,)</f>
        <v>Heliopolis</v>
      </c>
      <c r="C2217" s="2">
        <v>44381</v>
      </c>
      <c r="D2217" s="3">
        <v>718</v>
      </c>
    </row>
    <row r="2218" spans="1:4" ht="14.7" hidden="1" thickBot="1" x14ac:dyDescent="0.6">
      <c r="A2218" s="1" t="s">
        <v>2</v>
      </c>
      <c r="B2218" t="str">
        <f>VLOOKUP(A2218,'Area Breakdown'!$B$1:$C$33,2,)</f>
        <v>Downtown</v>
      </c>
      <c r="C2218" s="2">
        <v>44381</v>
      </c>
      <c r="D2218" s="3">
        <v>708.80000000000007</v>
      </c>
    </row>
    <row r="2219" spans="1:4" ht="14.7" hidden="1" thickBot="1" x14ac:dyDescent="0.6">
      <c r="A2219" s="1" t="s">
        <v>10</v>
      </c>
      <c r="B2219" t="str">
        <f>VLOOKUP(A2219,'Area Breakdown'!$B$1:$C$33,2,)</f>
        <v xml:space="preserve">Alexandria </v>
      </c>
      <c r="C2219" s="2">
        <v>44381</v>
      </c>
      <c r="D2219" s="3">
        <v>547.20000000000005</v>
      </c>
    </row>
    <row r="2220" spans="1:4" ht="14.7" hidden="1" thickBot="1" x14ac:dyDescent="0.6">
      <c r="A2220" s="1" t="s">
        <v>30</v>
      </c>
      <c r="B2220" t="str">
        <f>VLOOKUP(A2220,'Area Breakdown'!$B$1:$C$33,2,)</f>
        <v>October</v>
      </c>
      <c r="C2220" s="2">
        <v>44381</v>
      </c>
      <c r="D2220" s="3">
        <v>475.6</v>
      </c>
    </row>
    <row r="2221" spans="1:4" ht="14.7" hidden="1" thickBot="1" x14ac:dyDescent="0.6">
      <c r="A2221" s="1" t="s">
        <v>22</v>
      </c>
      <c r="B2221" t="str">
        <f>VLOOKUP(A2221,'Area Breakdown'!$B$1:$C$33,2,)</f>
        <v>Heliopolis</v>
      </c>
      <c r="C2221" s="2">
        <v>44381</v>
      </c>
      <c r="D2221" s="3">
        <v>400.8</v>
      </c>
    </row>
    <row r="2222" spans="1:4" ht="14.7" hidden="1" thickBot="1" x14ac:dyDescent="0.6">
      <c r="A2222" s="1" t="s">
        <v>9</v>
      </c>
      <c r="B2222" t="str">
        <f>VLOOKUP(A2222,'Area Breakdown'!$B$1:$C$33,2,)</f>
        <v xml:space="preserve">Alexandria </v>
      </c>
      <c r="C2222" s="2">
        <v>44381</v>
      </c>
      <c r="D2222" s="3">
        <v>389.6</v>
      </c>
    </row>
    <row r="2223" spans="1:4" ht="14.7" hidden="1" thickBot="1" x14ac:dyDescent="0.6">
      <c r="A2223" s="1" t="s">
        <v>23</v>
      </c>
      <c r="B2223" t="str">
        <f>VLOOKUP(A2223,'Area Breakdown'!$B$1:$C$33,2,)</f>
        <v>Heliopolis</v>
      </c>
      <c r="C2223" s="2">
        <v>44381</v>
      </c>
      <c r="D2223" s="3">
        <v>385.20000000000005</v>
      </c>
    </row>
    <row r="2224" spans="1:4" ht="14.7" hidden="1" thickBot="1" x14ac:dyDescent="0.6">
      <c r="A2224" s="1" t="s">
        <v>15</v>
      </c>
      <c r="B2224" t="str">
        <f>VLOOKUP(A2224,'Area Breakdown'!$B$1:$C$33,2,)</f>
        <v>Heliopolis</v>
      </c>
      <c r="C2224" s="2">
        <v>44381</v>
      </c>
      <c r="D2224" s="3">
        <v>354.8</v>
      </c>
    </row>
    <row r="2225" spans="1:4" ht="14.7" hidden="1" thickBot="1" x14ac:dyDescent="0.6">
      <c r="A2225" s="1" t="s">
        <v>29</v>
      </c>
      <c r="B2225" t="str">
        <f>VLOOKUP(A2225,'Area Breakdown'!$B$1:$C$33,2,)</f>
        <v>Downtown</v>
      </c>
      <c r="C2225" s="2">
        <v>44381</v>
      </c>
      <c r="D2225" s="3">
        <v>352.8</v>
      </c>
    </row>
    <row r="2226" spans="1:4" ht="14.7" hidden="1" thickBot="1" x14ac:dyDescent="0.6">
      <c r="A2226" s="1" t="s">
        <v>4</v>
      </c>
      <c r="B2226" t="str">
        <f>VLOOKUP(A2226,'Area Breakdown'!$B$1:$C$33,2,)</f>
        <v>Downtown</v>
      </c>
      <c r="C2226" s="2">
        <v>44381</v>
      </c>
      <c r="D2226" s="3">
        <v>347.20000000000005</v>
      </c>
    </row>
    <row r="2227" spans="1:4" ht="14.7" hidden="1" thickBot="1" x14ac:dyDescent="0.6">
      <c r="A2227" s="1" t="s">
        <v>6</v>
      </c>
      <c r="B2227" t="str">
        <f>VLOOKUP(A2227,'Area Breakdown'!$B$1:$C$33,2,)</f>
        <v xml:space="preserve">Alexandria </v>
      </c>
      <c r="C2227" s="2">
        <v>44381</v>
      </c>
      <c r="D2227" s="3">
        <v>291.2</v>
      </c>
    </row>
    <row r="2228" spans="1:4" ht="14.7" hidden="1" thickBot="1" x14ac:dyDescent="0.6">
      <c r="A2228" s="1" t="s">
        <v>7</v>
      </c>
      <c r="B2228" t="str">
        <f>VLOOKUP(A2228,'Area Breakdown'!$B$1:$C$33,2,)</f>
        <v>October</v>
      </c>
      <c r="C2228" s="2">
        <v>44381</v>
      </c>
      <c r="D2228" s="3">
        <v>164.8</v>
      </c>
    </row>
    <row r="2229" spans="1:4" ht="14.7" hidden="1" thickBot="1" x14ac:dyDescent="0.6">
      <c r="A2229" s="1" t="s">
        <v>16</v>
      </c>
      <c r="B2229" t="str">
        <f>VLOOKUP(A2229,'Area Breakdown'!$B$1:$C$33,2,)</f>
        <v>Downtown</v>
      </c>
      <c r="C2229" s="2">
        <v>44381</v>
      </c>
      <c r="D2229" s="3">
        <v>1344</v>
      </c>
    </row>
    <row r="2230" spans="1:4" ht="14.7" hidden="1" thickBot="1" x14ac:dyDescent="0.6">
      <c r="A2230" s="1" t="s">
        <v>12</v>
      </c>
      <c r="B2230" t="str">
        <f>VLOOKUP(A2230,'Area Breakdown'!$B$1:$C$33,2,)</f>
        <v>New Cairo</v>
      </c>
      <c r="C2230" s="2">
        <v>44381</v>
      </c>
      <c r="D2230" s="3">
        <v>1701.2</v>
      </c>
    </row>
    <row r="2231" spans="1:4" ht="14.7" hidden="1" thickBot="1" x14ac:dyDescent="0.6">
      <c r="A2231" s="1" t="s">
        <v>0</v>
      </c>
      <c r="B2231" t="str">
        <f>VLOOKUP(A2231,'Area Breakdown'!$B$1:$C$33,2,)</f>
        <v>Downtown</v>
      </c>
      <c r="C2231" s="2">
        <v>44382</v>
      </c>
      <c r="D2231" s="3">
        <v>1375.6000000000001</v>
      </c>
    </row>
    <row r="2232" spans="1:4" ht="14.7" hidden="1" thickBot="1" x14ac:dyDescent="0.6">
      <c r="A2232" s="1" t="s">
        <v>21</v>
      </c>
      <c r="B2232" t="str">
        <f>VLOOKUP(A2232,'Area Breakdown'!$B$1:$C$33,2,)</f>
        <v>Heliopolis</v>
      </c>
      <c r="C2232" s="2">
        <v>44382</v>
      </c>
      <c r="D2232" s="3">
        <v>1345.6000000000001</v>
      </c>
    </row>
    <row r="2233" spans="1:4" ht="14.7" hidden="1" thickBot="1" x14ac:dyDescent="0.6">
      <c r="A2233" s="1" t="s">
        <v>19</v>
      </c>
      <c r="B2233" t="str">
        <f>VLOOKUP(A2233,'Area Breakdown'!$B$1:$C$33,2,)</f>
        <v>Downtown</v>
      </c>
      <c r="C2233" s="2">
        <v>44382</v>
      </c>
      <c r="D2233" s="3">
        <v>1217.6000000000001</v>
      </c>
    </row>
    <row r="2234" spans="1:4" ht="14.7" hidden="1" thickBot="1" x14ac:dyDescent="0.6">
      <c r="A2234" s="1" t="s">
        <v>16</v>
      </c>
      <c r="B2234" t="str">
        <f>VLOOKUP(A2234,'Area Breakdown'!$B$1:$C$33,2,)</f>
        <v>Downtown</v>
      </c>
      <c r="C2234" s="2">
        <v>44382</v>
      </c>
      <c r="D2234" s="3">
        <v>1190</v>
      </c>
    </row>
    <row r="2235" spans="1:4" ht="14.7" hidden="1" thickBot="1" x14ac:dyDescent="0.6">
      <c r="A2235" s="1" t="s">
        <v>27</v>
      </c>
      <c r="B2235" t="str">
        <f>VLOOKUP(A2235,'Area Breakdown'!$B$1:$C$33,2,)</f>
        <v xml:space="preserve">Alexandria </v>
      </c>
      <c r="C2235" s="2">
        <v>44382</v>
      </c>
      <c r="D2235" s="3">
        <v>1187.6000000000001</v>
      </c>
    </row>
    <row r="2236" spans="1:4" ht="14.7" hidden="1" thickBot="1" x14ac:dyDescent="0.6">
      <c r="A2236" s="1" t="s">
        <v>20</v>
      </c>
      <c r="B2236" t="str">
        <f>VLOOKUP(A2236,'Area Breakdown'!$B$1:$C$33,2,)</f>
        <v>Downtown</v>
      </c>
      <c r="C2236" s="2">
        <v>44382</v>
      </c>
      <c r="D2236" s="3">
        <v>1080</v>
      </c>
    </row>
    <row r="2237" spans="1:4" ht="14.7" hidden="1" thickBot="1" x14ac:dyDescent="0.6">
      <c r="A2237" s="1" t="s">
        <v>13</v>
      </c>
      <c r="B2237" t="str">
        <f>VLOOKUP(A2237,'Area Breakdown'!$B$1:$C$33,2,)</f>
        <v>Heliopolis</v>
      </c>
      <c r="C2237" s="2">
        <v>44382</v>
      </c>
      <c r="D2237" s="3">
        <v>1013.2</v>
      </c>
    </row>
    <row r="2238" spans="1:4" ht="14.7" hidden="1" thickBot="1" x14ac:dyDescent="0.6">
      <c r="A2238" s="1" t="s">
        <v>11</v>
      </c>
      <c r="B2238" t="str">
        <f>VLOOKUP(A2238,'Area Breakdown'!$B$1:$C$33,2,)</f>
        <v>New Cairo</v>
      </c>
      <c r="C2238" s="2">
        <v>44382</v>
      </c>
      <c r="D2238" s="3">
        <v>993.2</v>
      </c>
    </row>
    <row r="2239" spans="1:4" ht="14.7" hidden="1" thickBot="1" x14ac:dyDescent="0.6">
      <c r="A2239" s="1" t="s">
        <v>25</v>
      </c>
      <c r="B2239" t="str">
        <f>VLOOKUP(A2239,'Area Breakdown'!$B$1:$C$33,2,)</f>
        <v>October</v>
      </c>
      <c r="C2239" s="2">
        <v>44382</v>
      </c>
      <c r="D2239" s="3">
        <v>969.2</v>
      </c>
    </row>
    <row r="2240" spans="1:4" ht="14.7" hidden="1" thickBot="1" x14ac:dyDescent="0.6">
      <c r="A2240" s="1" t="s">
        <v>17</v>
      </c>
      <c r="B2240" t="str">
        <f>VLOOKUP(A2240,'Area Breakdown'!$B$1:$C$33,2,)</f>
        <v>Heliopolis</v>
      </c>
      <c r="C2240" s="2">
        <v>44382</v>
      </c>
      <c r="D2240" s="3">
        <v>944.80000000000007</v>
      </c>
    </row>
    <row r="2241" spans="1:4" ht="14.7" hidden="1" thickBot="1" x14ac:dyDescent="0.6">
      <c r="A2241" s="1" t="s">
        <v>8</v>
      </c>
      <c r="B2241" t="str">
        <f>VLOOKUP(A2241,'Area Breakdown'!$B$1:$C$33,2,)</f>
        <v>Heliopolis</v>
      </c>
      <c r="C2241" s="2">
        <v>44382</v>
      </c>
      <c r="D2241" s="3">
        <v>883.2</v>
      </c>
    </row>
    <row r="2242" spans="1:4" ht="14.7" hidden="1" thickBot="1" x14ac:dyDescent="0.6">
      <c r="A2242" s="1" t="s">
        <v>24</v>
      </c>
      <c r="B2242" t="str">
        <f>VLOOKUP(A2242,'Area Breakdown'!$B$1:$C$33,2,)</f>
        <v>October</v>
      </c>
      <c r="C2242" s="2">
        <v>44382</v>
      </c>
      <c r="D2242" s="3">
        <v>867.2</v>
      </c>
    </row>
    <row r="2243" spans="1:4" ht="14.7" hidden="1" thickBot="1" x14ac:dyDescent="0.6">
      <c r="A2243" s="1" t="s">
        <v>15</v>
      </c>
      <c r="B2243" t="str">
        <f>VLOOKUP(A2243,'Area Breakdown'!$B$1:$C$33,2,)</f>
        <v>Heliopolis</v>
      </c>
      <c r="C2243" s="2">
        <v>44382</v>
      </c>
      <c r="D2243" s="3">
        <v>764.40000000000009</v>
      </c>
    </row>
    <row r="2244" spans="1:4" ht="14.7" hidden="1" thickBot="1" x14ac:dyDescent="0.6">
      <c r="A2244" s="1" t="s">
        <v>22</v>
      </c>
      <c r="B2244" t="str">
        <f>VLOOKUP(A2244,'Area Breakdown'!$B$1:$C$33,2,)</f>
        <v>Heliopolis</v>
      </c>
      <c r="C2244" s="2">
        <v>44382</v>
      </c>
      <c r="D2244" s="3">
        <v>620</v>
      </c>
    </row>
    <row r="2245" spans="1:4" ht="14.7" hidden="1" thickBot="1" x14ac:dyDescent="0.6">
      <c r="A2245" s="1" t="s">
        <v>3</v>
      </c>
      <c r="B2245" t="str">
        <f>VLOOKUP(A2245,'Area Breakdown'!$B$1:$C$33,2,)</f>
        <v>Downtown</v>
      </c>
      <c r="C2245" s="2">
        <v>44382</v>
      </c>
      <c r="D2245" s="3">
        <v>616.40000000000009</v>
      </c>
    </row>
    <row r="2246" spans="1:4" ht="14.7" hidden="1" thickBot="1" x14ac:dyDescent="0.6">
      <c r="A2246" s="1" t="s">
        <v>2</v>
      </c>
      <c r="B2246" t="str">
        <f>VLOOKUP(A2246,'Area Breakdown'!$B$1:$C$33,2,)</f>
        <v>Downtown</v>
      </c>
      <c r="C2246" s="2">
        <v>44382</v>
      </c>
      <c r="D2246" s="3">
        <v>592.4</v>
      </c>
    </row>
    <row r="2247" spans="1:4" ht="14.7" hidden="1" thickBot="1" x14ac:dyDescent="0.6">
      <c r="A2247" s="1" t="s">
        <v>10</v>
      </c>
      <c r="B2247" t="str">
        <f>VLOOKUP(A2247,'Area Breakdown'!$B$1:$C$33,2,)</f>
        <v xml:space="preserve">Alexandria </v>
      </c>
      <c r="C2247" s="2">
        <v>44382</v>
      </c>
      <c r="D2247" s="3">
        <v>494.40000000000003</v>
      </c>
    </row>
    <row r="2248" spans="1:4" ht="14.7" hidden="1" thickBot="1" x14ac:dyDescent="0.6">
      <c r="A2248" s="1" t="s">
        <v>23</v>
      </c>
      <c r="B2248" t="str">
        <f>VLOOKUP(A2248,'Area Breakdown'!$B$1:$C$33,2,)</f>
        <v>Heliopolis</v>
      </c>
      <c r="C2248" s="2">
        <v>44382</v>
      </c>
      <c r="D2248" s="3">
        <v>483.6</v>
      </c>
    </row>
    <row r="2249" spans="1:4" ht="14.7" hidden="1" thickBot="1" x14ac:dyDescent="0.6">
      <c r="A2249" s="1" t="s">
        <v>30</v>
      </c>
      <c r="B2249" t="str">
        <f>VLOOKUP(A2249,'Area Breakdown'!$B$1:$C$33,2,)</f>
        <v>October</v>
      </c>
      <c r="C2249" s="2">
        <v>44382</v>
      </c>
      <c r="D2249" s="3">
        <v>452.8</v>
      </c>
    </row>
    <row r="2250" spans="1:4" ht="14.7" hidden="1" thickBot="1" x14ac:dyDescent="0.6">
      <c r="A2250" s="1" t="s">
        <v>9</v>
      </c>
      <c r="B2250" t="str">
        <f>VLOOKUP(A2250,'Area Breakdown'!$B$1:$C$33,2,)</f>
        <v xml:space="preserve">Alexandria </v>
      </c>
      <c r="C2250" s="2">
        <v>44382</v>
      </c>
      <c r="D2250" s="3">
        <v>431.6</v>
      </c>
    </row>
    <row r="2251" spans="1:4" ht="14.7" hidden="1" thickBot="1" x14ac:dyDescent="0.6">
      <c r="A2251" s="1" t="s">
        <v>4</v>
      </c>
      <c r="B2251" t="str">
        <f>VLOOKUP(A2251,'Area Breakdown'!$B$1:$C$33,2,)</f>
        <v>Downtown</v>
      </c>
      <c r="C2251" s="2">
        <v>44382</v>
      </c>
      <c r="D2251" s="3">
        <v>357.20000000000005</v>
      </c>
    </row>
    <row r="2252" spans="1:4" ht="14.7" hidden="1" thickBot="1" x14ac:dyDescent="0.6">
      <c r="A2252" s="1" t="s">
        <v>7</v>
      </c>
      <c r="B2252" t="str">
        <f>VLOOKUP(A2252,'Area Breakdown'!$B$1:$C$33,2,)</f>
        <v>October</v>
      </c>
      <c r="C2252" s="2">
        <v>44382</v>
      </c>
      <c r="D2252" s="3">
        <v>321.60000000000002</v>
      </c>
    </row>
    <row r="2253" spans="1:4" ht="14.7" hidden="1" thickBot="1" x14ac:dyDescent="0.6">
      <c r="A2253" s="1" t="s">
        <v>6</v>
      </c>
      <c r="B2253" t="str">
        <f>VLOOKUP(A2253,'Area Breakdown'!$B$1:$C$33,2,)</f>
        <v xml:space="preserve">Alexandria </v>
      </c>
      <c r="C2253" s="2">
        <v>44382</v>
      </c>
      <c r="D2253" s="3">
        <v>256</v>
      </c>
    </row>
    <row r="2254" spans="1:4" ht="14.7" hidden="1" thickBot="1" x14ac:dyDescent="0.6">
      <c r="A2254" s="1" t="s">
        <v>29</v>
      </c>
      <c r="B2254" t="str">
        <f>VLOOKUP(A2254,'Area Breakdown'!$B$1:$C$33,2,)</f>
        <v>Downtown</v>
      </c>
      <c r="C2254" s="2">
        <v>44382</v>
      </c>
      <c r="D2254" s="3">
        <v>180.4</v>
      </c>
    </row>
    <row r="2255" spans="1:4" ht="14.7" hidden="1" thickBot="1" x14ac:dyDescent="0.6">
      <c r="A2255" s="1" t="s">
        <v>1</v>
      </c>
      <c r="B2255" t="str">
        <f>VLOOKUP(A2255,'Area Breakdown'!$B$1:$C$33,2,)</f>
        <v>Downtown</v>
      </c>
      <c r="C2255" s="2">
        <v>44382</v>
      </c>
      <c r="D2255" s="3">
        <v>1297.2</v>
      </c>
    </row>
    <row r="2256" spans="1:4" ht="14.7" hidden="1" thickBot="1" x14ac:dyDescent="0.6">
      <c r="A2256" s="1" t="s">
        <v>12</v>
      </c>
      <c r="B2256" t="str">
        <f>VLOOKUP(A2256,'Area Breakdown'!$B$1:$C$33,2,)</f>
        <v>New Cairo</v>
      </c>
      <c r="C2256" s="2">
        <v>44382</v>
      </c>
      <c r="D2256" s="3">
        <v>1862</v>
      </c>
    </row>
    <row r="2257" spans="1:4" ht="14.7" hidden="1" thickBot="1" x14ac:dyDescent="0.6">
      <c r="A2257" s="1" t="s">
        <v>19</v>
      </c>
      <c r="B2257" t="str">
        <f>VLOOKUP(A2257,'Area Breakdown'!$B$1:$C$33,2,)</f>
        <v>Downtown</v>
      </c>
      <c r="C2257" s="2">
        <v>44383</v>
      </c>
      <c r="D2257" s="3">
        <v>1620.8000000000002</v>
      </c>
    </row>
    <row r="2258" spans="1:4" ht="14.7" hidden="1" thickBot="1" x14ac:dyDescent="0.6">
      <c r="A2258" s="1" t="s">
        <v>21</v>
      </c>
      <c r="B2258" t="str">
        <f>VLOOKUP(A2258,'Area Breakdown'!$B$1:$C$33,2,)</f>
        <v>Heliopolis</v>
      </c>
      <c r="C2258" s="2">
        <v>44383</v>
      </c>
      <c r="D2258" s="3">
        <v>1536</v>
      </c>
    </row>
    <row r="2259" spans="1:4" ht="14.7" hidden="1" thickBot="1" x14ac:dyDescent="0.6">
      <c r="A2259" s="1" t="s">
        <v>1</v>
      </c>
      <c r="B2259" t="str">
        <f>VLOOKUP(A2259,'Area Breakdown'!$B$1:$C$33,2,)</f>
        <v>Downtown</v>
      </c>
      <c r="C2259" s="2">
        <v>44383</v>
      </c>
      <c r="D2259" s="3">
        <v>1434.4</v>
      </c>
    </row>
    <row r="2260" spans="1:4" ht="14.7" hidden="1" thickBot="1" x14ac:dyDescent="0.6">
      <c r="A2260" s="1" t="s">
        <v>20</v>
      </c>
      <c r="B2260" t="str">
        <f>VLOOKUP(A2260,'Area Breakdown'!$B$1:$C$33,2,)</f>
        <v>Downtown</v>
      </c>
      <c r="C2260" s="2">
        <v>44383</v>
      </c>
      <c r="D2260" s="3">
        <v>1394</v>
      </c>
    </row>
    <row r="2261" spans="1:4" ht="14.7" hidden="1" thickBot="1" x14ac:dyDescent="0.6">
      <c r="A2261" s="1" t="s">
        <v>0</v>
      </c>
      <c r="B2261" t="str">
        <f>VLOOKUP(A2261,'Area Breakdown'!$B$1:$C$33,2,)</f>
        <v>Downtown</v>
      </c>
      <c r="C2261" s="2">
        <v>44383</v>
      </c>
      <c r="D2261" s="3">
        <v>1369.6000000000001</v>
      </c>
    </row>
    <row r="2262" spans="1:4" ht="14.7" hidden="1" thickBot="1" x14ac:dyDescent="0.6">
      <c r="A2262" s="1" t="s">
        <v>2</v>
      </c>
      <c r="B2262" t="str">
        <f>VLOOKUP(A2262,'Area Breakdown'!$B$1:$C$33,2,)</f>
        <v>Downtown</v>
      </c>
      <c r="C2262" s="2">
        <v>44383</v>
      </c>
      <c r="D2262" s="3">
        <v>1215.6000000000001</v>
      </c>
    </row>
    <row r="2263" spans="1:4" ht="14.7" hidden="1" thickBot="1" x14ac:dyDescent="0.6">
      <c r="A2263" s="1" t="s">
        <v>22</v>
      </c>
      <c r="B2263" t="str">
        <f>VLOOKUP(A2263,'Area Breakdown'!$B$1:$C$33,2,)</f>
        <v>Heliopolis</v>
      </c>
      <c r="C2263" s="2">
        <v>44383</v>
      </c>
      <c r="D2263" s="3">
        <v>1151.6000000000001</v>
      </c>
    </row>
    <row r="2264" spans="1:4" ht="14.7" hidden="1" thickBot="1" x14ac:dyDescent="0.6">
      <c r="A2264" s="1" t="s">
        <v>25</v>
      </c>
      <c r="B2264" t="str">
        <f>VLOOKUP(A2264,'Area Breakdown'!$B$1:$C$33,2,)</f>
        <v>October</v>
      </c>
      <c r="C2264" s="2">
        <v>44383</v>
      </c>
      <c r="D2264" s="3">
        <v>1050</v>
      </c>
    </row>
    <row r="2265" spans="1:4" ht="14.7" hidden="1" thickBot="1" x14ac:dyDescent="0.6">
      <c r="A2265" s="1" t="s">
        <v>27</v>
      </c>
      <c r="B2265" t="str">
        <f>VLOOKUP(A2265,'Area Breakdown'!$B$1:$C$33,2,)</f>
        <v xml:space="preserve">Alexandria </v>
      </c>
      <c r="C2265" s="2">
        <v>44383</v>
      </c>
      <c r="D2265" s="3">
        <v>930</v>
      </c>
    </row>
    <row r="2266" spans="1:4" ht="14.7" hidden="1" thickBot="1" x14ac:dyDescent="0.6">
      <c r="A2266" s="1" t="s">
        <v>8</v>
      </c>
      <c r="B2266" t="str">
        <f>VLOOKUP(A2266,'Area Breakdown'!$B$1:$C$33,2,)</f>
        <v>Heliopolis</v>
      </c>
      <c r="C2266" s="2">
        <v>44383</v>
      </c>
      <c r="D2266" s="3">
        <v>918.80000000000007</v>
      </c>
    </row>
    <row r="2267" spans="1:4" ht="14.7" hidden="1" thickBot="1" x14ac:dyDescent="0.6">
      <c r="A2267" s="1" t="s">
        <v>11</v>
      </c>
      <c r="B2267" t="str">
        <f>VLOOKUP(A2267,'Area Breakdown'!$B$1:$C$33,2,)</f>
        <v>New Cairo</v>
      </c>
      <c r="C2267" s="2">
        <v>44383</v>
      </c>
      <c r="D2267" s="3">
        <v>894.40000000000009</v>
      </c>
    </row>
    <row r="2268" spans="1:4" ht="14.7" hidden="1" thickBot="1" x14ac:dyDescent="0.6">
      <c r="A2268" s="1" t="s">
        <v>15</v>
      </c>
      <c r="B2268" t="str">
        <f>VLOOKUP(A2268,'Area Breakdown'!$B$1:$C$33,2,)</f>
        <v>Heliopolis</v>
      </c>
      <c r="C2268" s="2">
        <v>44383</v>
      </c>
      <c r="D2268" s="3">
        <v>752.40000000000009</v>
      </c>
    </row>
    <row r="2269" spans="1:4" ht="14.7" hidden="1" thickBot="1" x14ac:dyDescent="0.6">
      <c r="A2269" s="1" t="s">
        <v>9</v>
      </c>
      <c r="B2269" t="str">
        <f>VLOOKUP(A2269,'Area Breakdown'!$B$1:$C$33,2,)</f>
        <v xml:space="preserve">Alexandria </v>
      </c>
      <c r="C2269" s="2">
        <v>44383</v>
      </c>
      <c r="D2269" s="3">
        <v>749.2</v>
      </c>
    </row>
    <row r="2270" spans="1:4" ht="14.7" hidden="1" thickBot="1" x14ac:dyDescent="0.6">
      <c r="A2270" s="1" t="s">
        <v>13</v>
      </c>
      <c r="B2270" t="str">
        <f>VLOOKUP(A2270,'Area Breakdown'!$B$1:$C$33,2,)</f>
        <v>Heliopolis</v>
      </c>
      <c r="C2270" s="2">
        <v>44383</v>
      </c>
      <c r="D2270" s="3">
        <v>722</v>
      </c>
    </row>
    <row r="2271" spans="1:4" ht="14.7" hidden="1" thickBot="1" x14ac:dyDescent="0.6">
      <c r="A2271" s="1" t="s">
        <v>3</v>
      </c>
      <c r="B2271" t="str">
        <f>VLOOKUP(A2271,'Area Breakdown'!$B$1:$C$33,2,)</f>
        <v>Downtown</v>
      </c>
      <c r="C2271" s="2">
        <v>44383</v>
      </c>
      <c r="D2271" s="3">
        <v>698.80000000000007</v>
      </c>
    </row>
    <row r="2272" spans="1:4" ht="14.7" hidden="1" thickBot="1" x14ac:dyDescent="0.6">
      <c r="A2272" s="1" t="s">
        <v>10</v>
      </c>
      <c r="B2272" t="str">
        <f>VLOOKUP(A2272,'Area Breakdown'!$B$1:$C$33,2,)</f>
        <v xml:space="preserve">Alexandria </v>
      </c>
      <c r="C2272" s="2">
        <v>44383</v>
      </c>
      <c r="D2272" s="3">
        <v>694.80000000000007</v>
      </c>
    </row>
    <row r="2273" spans="1:4" ht="14.7" hidden="1" thickBot="1" x14ac:dyDescent="0.6">
      <c r="A2273" s="1" t="s">
        <v>16</v>
      </c>
      <c r="B2273" t="str">
        <f>VLOOKUP(A2273,'Area Breakdown'!$B$1:$C$33,2,)</f>
        <v>Downtown</v>
      </c>
      <c r="C2273" s="2">
        <v>44383</v>
      </c>
      <c r="D2273" s="3">
        <v>644</v>
      </c>
    </row>
    <row r="2274" spans="1:4" ht="14.7" hidden="1" thickBot="1" x14ac:dyDescent="0.6">
      <c r="A2274" s="1" t="s">
        <v>17</v>
      </c>
      <c r="B2274" t="str">
        <f>VLOOKUP(A2274,'Area Breakdown'!$B$1:$C$33,2,)</f>
        <v>Heliopolis</v>
      </c>
      <c r="C2274" s="2">
        <v>44383</v>
      </c>
      <c r="D2274" s="3">
        <v>632.80000000000007</v>
      </c>
    </row>
    <row r="2275" spans="1:4" ht="14.7" hidden="1" thickBot="1" x14ac:dyDescent="0.6">
      <c r="A2275" s="1" t="s">
        <v>6</v>
      </c>
      <c r="B2275" t="str">
        <f>VLOOKUP(A2275,'Area Breakdown'!$B$1:$C$33,2,)</f>
        <v xml:space="preserve">Alexandria </v>
      </c>
      <c r="C2275" s="2">
        <v>44383</v>
      </c>
      <c r="D2275" s="3">
        <v>563.20000000000005</v>
      </c>
    </row>
    <row r="2276" spans="1:4" ht="14.7" hidden="1" thickBot="1" x14ac:dyDescent="0.6">
      <c r="A2276" s="1" t="s">
        <v>4</v>
      </c>
      <c r="B2276" t="str">
        <f>VLOOKUP(A2276,'Area Breakdown'!$B$1:$C$33,2,)</f>
        <v>Downtown</v>
      </c>
      <c r="C2276" s="2">
        <v>44383</v>
      </c>
      <c r="D2276" s="3">
        <v>483.6</v>
      </c>
    </row>
    <row r="2277" spans="1:4" ht="14.7" hidden="1" thickBot="1" x14ac:dyDescent="0.6">
      <c r="A2277" s="1" t="s">
        <v>23</v>
      </c>
      <c r="B2277" t="str">
        <f>VLOOKUP(A2277,'Area Breakdown'!$B$1:$C$33,2,)</f>
        <v>Heliopolis</v>
      </c>
      <c r="C2277" s="2">
        <v>44383</v>
      </c>
      <c r="D2277" s="3">
        <v>422.40000000000003</v>
      </c>
    </row>
    <row r="2278" spans="1:4" ht="14.7" hidden="1" thickBot="1" x14ac:dyDescent="0.6">
      <c r="A2278" s="1" t="s">
        <v>30</v>
      </c>
      <c r="B2278" t="str">
        <f>VLOOKUP(A2278,'Area Breakdown'!$B$1:$C$33,2,)</f>
        <v>October</v>
      </c>
      <c r="C2278" s="2">
        <v>44383</v>
      </c>
      <c r="D2278" s="3">
        <v>334.40000000000003</v>
      </c>
    </row>
    <row r="2279" spans="1:4" ht="14.7" hidden="1" thickBot="1" x14ac:dyDescent="0.6">
      <c r="A2279" s="1" t="s">
        <v>29</v>
      </c>
      <c r="B2279" t="str">
        <f>VLOOKUP(A2279,'Area Breakdown'!$B$1:$C$33,2,)</f>
        <v>Downtown</v>
      </c>
      <c r="C2279" s="2">
        <v>44383</v>
      </c>
      <c r="D2279" s="3">
        <v>301.60000000000002</v>
      </c>
    </row>
    <row r="2280" spans="1:4" ht="14.7" hidden="1" thickBot="1" x14ac:dyDescent="0.6">
      <c r="A2280" s="1" t="s">
        <v>7</v>
      </c>
      <c r="B2280" t="str">
        <f>VLOOKUP(A2280,'Area Breakdown'!$B$1:$C$33,2,)</f>
        <v>October</v>
      </c>
      <c r="C2280" s="2">
        <v>44383</v>
      </c>
      <c r="D2280" s="3">
        <v>271.2</v>
      </c>
    </row>
    <row r="2281" spans="1:4" ht="14.7" hidden="1" thickBot="1" x14ac:dyDescent="0.6">
      <c r="A2281" s="1" t="s">
        <v>12</v>
      </c>
      <c r="B2281" t="str">
        <f>VLOOKUP(A2281,'Area Breakdown'!$B$1:$C$33,2,)</f>
        <v>New Cairo</v>
      </c>
      <c r="C2281" s="2">
        <v>44383</v>
      </c>
      <c r="D2281" s="3">
        <v>1891.2</v>
      </c>
    </row>
    <row r="2282" spans="1:4" ht="14.7" hidden="1" thickBot="1" x14ac:dyDescent="0.6">
      <c r="A2282" s="1" t="s">
        <v>24</v>
      </c>
      <c r="B2282" t="str">
        <f>VLOOKUP(A2282,'Area Breakdown'!$B$1:$C$33,2,)</f>
        <v>October</v>
      </c>
      <c r="C2282" s="2">
        <v>44383</v>
      </c>
      <c r="D2282" s="3">
        <v>1661.6000000000001</v>
      </c>
    </row>
    <row r="2283" spans="1:4" ht="14.7" hidden="1" thickBot="1" x14ac:dyDescent="0.6">
      <c r="A2283" s="1" t="s">
        <v>16</v>
      </c>
      <c r="B2283" t="str">
        <f>VLOOKUP(A2283,'Area Breakdown'!$B$1:$C$33,2,)</f>
        <v>Downtown</v>
      </c>
      <c r="C2283" s="2">
        <v>44384</v>
      </c>
      <c r="D2283" s="3">
        <v>1445.2</v>
      </c>
    </row>
    <row r="2284" spans="1:4" ht="14.7" hidden="1" thickBot="1" x14ac:dyDescent="0.6">
      <c r="A2284" s="1" t="s">
        <v>0</v>
      </c>
      <c r="B2284" t="str">
        <f>VLOOKUP(A2284,'Area Breakdown'!$B$1:$C$33,2,)</f>
        <v>Downtown</v>
      </c>
      <c r="C2284" s="2">
        <v>44384</v>
      </c>
      <c r="D2284" s="3">
        <v>1405.2</v>
      </c>
    </row>
    <row r="2285" spans="1:4" ht="14.7" hidden="1" thickBot="1" x14ac:dyDescent="0.6">
      <c r="A2285" s="1" t="s">
        <v>1</v>
      </c>
      <c r="B2285" t="str">
        <f>VLOOKUP(A2285,'Area Breakdown'!$B$1:$C$33,2,)</f>
        <v>Downtown</v>
      </c>
      <c r="C2285" s="2">
        <v>44384</v>
      </c>
      <c r="D2285" s="3">
        <v>1141.6000000000001</v>
      </c>
    </row>
    <row r="2286" spans="1:4" ht="14.7" hidden="1" thickBot="1" x14ac:dyDescent="0.6">
      <c r="A2286" s="1" t="s">
        <v>24</v>
      </c>
      <c r="B2286" t="str">
        <f>VLOOKUP(A2286,'Area Breakdown'!$B$1:$C$33,2,)</f>
        <v>October</v>
      </c>
      <c r="C2286" s="2">
        <v>44384</v>
      </c>
      <c r="D2286" s="3">
        <v>1121.6000000000001</v>
      </c>
    </row>
    <row r="2287" spans="1:4" ht="14.7" hidden="1" thickBot="1" x14ac:dyDescent="0.6">
      <c r="A2287" s="1" t="s">
        <v>11</v>
      </c>
      <c r="B2287" t="str">
        <f>VLOOKUP(A2287,'Area Breakdown'!$B$1:$C$33,2,)</f>
        <v>New Cairo</v>
      </c>
      <c r="C2287" s="2">
        <v>44384</v>
      </c>
      <c r="D2287" s="3">
        <v>1111.2</v>
      </c>
    </row>
    <row r="2288" spans="1:4" ht="14.7" hidden="1" thickBot="1" x14ac:dyDescent="0.6">
      <c r="A2288" s="1" t="s">
        <v>20</v>
      </c>
      <c r="B2288" t="str">
        <f>VLOOKUP(A2288,'Area Breakdown'!$B$1:$C$33,2,)</f>
        <v>Downtown</v>
      </c>
      <c r="C2288" s="2">
        <v>44384</v>
      </c>
      <c r="D2288" s="3">
        <v>1021.2</v>
      </c>
    </row>
    <row r="2289" spans="1:4" ht="14.7" hidden="1" thickBot="1" x14ac:dyDescent="0.6">
      <c r="A2289" s="1" t="s">
        <v>25</v>
      </c>
      <c r="B2289" t="str">
        <f>VLOOKUP(A2289,'Area Breakdown'!$B$1:$C$33,2,)</f>
        <v>October</v>
      </c>
      <c r="C2289" s="2">
        <v>44384</v>
      </c>
      <c r="D2289" s="3">
        <v>994</v>
      </c>
    </row>
    <row r="2290" spans="1:4" ht="14.7" hidden="1" thickBot="1" x14ac:dyDescent="0.6">
      <c r="A2290" s="1" t="s">
        <v>22</v>
      </c>
      <c r="B2290" t="str">
        <f>VLOOKUP(A2290,'Area Breakdown'!$B$1:$C$33,2,)</f>
        <v>Heliopolis</v>
      </c>
      <c r="C2290" s="2">
        <v>44384</v>
      </c>
      <c r="D2290" s="3">
        <v>906.40000000000009</v>
      </c>
    </row>
    <row r="2291" spans="1:4" ht="14.7" hidden="1" thickBot="1" x14ac:dyDescent="0.6">
      <c r="A2291" s="1" t="s">
        <v>27</v>
      </c>
      <c r="B2291" t="str">
        <f>VLOOKUP(A2291,'Area Breakdown'!$B$1:$C$33,2,)</f>
        <v xml:space="preserve">Alexandria </v>
      </c>
      <c r="C2291" s="2">
        <v>44384</v>
      </c>
      <c r="D2291" s="3">
        <v>885.2</v>
      </c>
    </row>
    <row r="2292" spans="1:4" ht="14.7" hidden="1" thickBot="1" x14ac:dyDescent="0.6">
      <c r="A2292" s="1" t="s">
        <v>17</v>
      </c>
      <c r="B2292" t="str">
        <f>VLOOKUP(A2292,'Area Breakdown'!$B$1:$C$33,2,)</f>
        <v>Heliopolis</v>
      </c>
      <c r="C2292" s="2">
        <v>44384</v>
      </c>
      <c r="D2292" s="3">
        <v>852.80000000000007</v>
      </c>
    </row>
    <row r="2293" spans="1:4" ht="14.7" hidden="1" thickBot="1" x14ac:dyDescent="0.6">
      <c r="A2293" s="1" t="s">
        <v>13</v>
      </c>
      <c r="B2293" t="str">
        <f>VLOOKUP(A2293,'Area Breakdown'!$B$1:$C$33,2,)</f>
        <v>Heliopolis</v>
      </c>
      <c r="C2293" s="2">
        <v>44384</v>
      </c>
      <c r="D2293" s="3">
        <v>761.6</v>
      </c>
    </row>
    <row r="2294" spans="1:4" ht="14.7" hidden="1" thickBot="1" x14ac:dyDescent="0.6">
      <c r="A2294" s="1" t="s">
        <v>3</v>
      </c>
      <c r="B2294" t="str">
        <f>VLOOKUP(A2294,'Area Breakdown'!$B$1:$C$33,2,)</f>
        <v>Downtown</v>
      </c>
      <c r="C2294" s="2">
        <v>44384</v>
      </c>
      <c r="D2294" s="3">
        <v>727.6</v>
      </c>
    </row>
    <row r="2295" spans="1:4" ht="14.7" hidden="1" thickBot="1" x14ac:dyDescent="0.6">
      <c r="A2295" s="1" t="s">
        <v>8</v>
      </c>
      <c r="B2295" t="str">
        <f>VLOOKUP(A2295,'Area Breakdown'!$B$1:$C$33,2,)</f>
        <v>Heliopolis</v>
      </c>
      <c r="C2295" s="2">
        <v>44384</v>
      </c>
      <c r="D2295" s="3">
        <v>724.40000000000009</v>
      </c>
    </row>
    <row r="2296" spans="1:4" ht="14.7" hidden="1" thickBot="1" x14ac:dyDescent="0.6">
      <c r="A2296" s="1" t="s">
        <v>9</v>
      </c>
      <c r="B2296" t="str">
        <f>VLOOKUP(A2296,'Area Breakdown'!$B$1:$C$33,2,)</f>
        <v xml:space="preserve">Alexandria </v>
      </c>
      <c r="C2296" s="2">
        <v>44384</v>
      </c>
      <c r="D2296" s="3">
        <v>722.40000000000009</v>
      </c>
    </row>
    <row r="2297" spans="1:4" ht="14.7" hidden="1" thickBot="1" x14ac:dyDescent="0.6">
      <c r="A2297" s="1" t="s">
        <v>10</v>
      </c>
      <c r="B2297" t="str">
        <f>VLOOKUP(A2297,'Area Breakdown'!$B$1:$C$33,2,)</f>
        <v xml:space="preserve">Alexandria </v>
      </c>
      <c r="C2297" s="2">
        <v>44384</v>
      </c>
      <c r="D2297" s="3">
        <v>628.40000000000009</v>
      </c>
    </row>
    <row r="2298" spans="1:4" ht="14.7" hidden="1" thickBot="1" x14ac:dyDescent="0.6">
      <c r="A2298" s="1" t="s">
        <v>2</v>
      </c>
      <c r="B2298" t="str">
        <f>VLOOKUP(A2298,'Area Breakdown'!$B$1:$C$33,2,)</f>
        <v>Downtown</v>
      </c>
      <c r="C2298" s="2">
        <v>44384</v>
      </c>
      <c r="D2298" s="3">
        <v>612.4</v>
      </c>
    </row>
    <row r="2299" spans="1:4" ht="14.7" hidden="1" thickBot="1" x14ac:dyDescent="0.6">
      <c r="A2299" s="1" t="s">
        <v>23</v>
      </c>
      <c r="B2299" t="str">
        <f>VLOOKUP(A2299,'Area Breakdown'!$B$1:$C$33,2,)</f>
        <v>Heliopolis</v>
      </c>
      <c r="C2299" s="2">
        <v>44384</v>
      </c>
      <c r="D2299" s="3">
        <v>510.40000000000003</v>
      </c>
    </row>
    <row r="2300" spans="1:4" ht="14.7" hidden="1" thickBot="1" x14ac:dyDescent="0.6">
      <c r="A2300" s="1" t="s">
        <v>4</v>
      </c>
      <c r="B2300" t="str">
        <f>VLOOKUP(A2300,'Area Breakdown'!$B$1:$C$33,2,)</f>
        <v>Downtown</v>
      </c>
      <c r="C2300" s="2">
        <v>44384</v>
      </c>
      <c r="D2300" s="3">
        <v>428.40000000000003</v>
      </c>
    </row>
    <row r="2301" spans="1:4" ht="14.7" hidden="1" thickBot="1" x14ac:dyDescent="0.6">
      <c r="A2301" s="1" t="s">
        <v>15</v>
      </c>
      <c r="B2301" t="str">
        <f>VLOOKUP(A2301,'Area Breakdown'!$B$1:$C$33,2,)</f>
        <v>Heliopolis</v>
      </c>
      <c r="C2301" s="2">
        <v>44384</v>
      </c>
      <c r="D2301" s="3">
        <v>413.6</v>
      </c>
    </row>
    <row r="2302" spans="1:4" ht="14.7" hidden="1" thickBot="1" x14ac:dyDescent="0.6">
      <c r="A2302" s="1" t="s">
        <v>30</v>
      </c>
      <c r="B2302" t="str">
        <f>VLOOKUP(A2302,'Area Breakdown'!$B$1:$C$33,2,)</f>
        <v>October</v>
      </c>
      <c r="C2302" s="2">
        <v>44384</v>
      </c>
      <c r="D2302" s="3">
        <v>339.20000000000005</v>
      </c>
    </row>
    <row r="2303" spans="1:4" ht="14.7" hidden="1" thickBot="1" x14ac:dyDescent="0.6">
      <c r="A2303" s="1" t="s">
        <v>7</v>
      </c>
      <c r="B2303" t="str">
        <f>VLOOKUP(A2303,'Area Breakdown'!$B$1:$C$33,2,)</f>
        <v>October</v>
      </c>
      <c r="C2303" s="2">
        <v>44384</v>
      </c>
      <c r="D2303" s="3">
        <v>292.8</v>
      </c>
    </row>
    <row r="2304" spans="1:4" ht="14.7" hidden="1" thickBot="1" x14ac:dyDescent="0.6">
      <c r="A2304" s="1" t="s">
        <v>29</v>
      </c>
      <c r="B2304" t="str">
        <f>VLOOKUP(A2304,'Area Breakdown'!$B$1:$C$33,2,)</f>
        <v>Downtown</v>
      </c>
      <c r="C2304" s="2">
        <v>44384</v>
      </c>
      <c r="D2304" s="3">
        <v>290</v>
      </c>
    </row>
    <row r="2305" spans="1:4" ht="14.7" hidden="1" thickBot="1" x14ac:dyDescent="0.6">
      <c r="A2305" s="1" t="s">
        <v>6</v>
      </c>
      <c r="B2305" t="str">
        <f>VLOOKUP(A2305,'Area Breakdown'!$B$1:$C$33,2,)</f>
        <v xml:space="preserve">Alexandria </v>
      </c>
      <c r="C2305" s="2">
        <v>44384</v>
      </c>
      <c r="D2305" s="3">
        <v>228.4</v>
      </c>
    </row>
    <row r="2306" spans="1:4" ht="14.7" hidden="1" thickBot="1" x14ac:dyDescent="0.6">
      <c r="A2306" s="1" t="s">
        <v>21</v>
      </c>
      <c r="B2306" t="str">
        <f>VLOOKUP(A2306,'Area Breakdown'!$B$1:$C$33,2,)</f>
        <v>Heliopolis</v>
      </c>
      <c r="C2306" s="2">
        <v>44384</v>
      </c>
      <c r="D2306" s="3">
        <v>1789.6000000000001</v>
      </c>
    </row>
    <row r="2307" spans="1:4" ht="14.7" hidden="1" thickBot="1" x14ac:dyDescent="0.6">
      <c r="A2307" s="1" t="s">
        <v>19</v>
      </c>
      <c r="B2307" t="str">
        <f>VLOOKUP(A2307,'Area Breakdown'!$B$1:$C$33,2,)</f>
        <v>Downtown</v>
      </c>
      <c r="C2307" s="2">
        <v>44384</v>
      </c>
      <c r="D2307" s="3">
        <v>1709.2</v>
      </c>
    </row>
    <row r="2308" spans="1:4" ht="14.7" hidden="1" thickBot="1" x14ac:dyDescent="0.6">
      <c r="A2308" s="1" t="s">
        <v>12</v>
      </c>
      <c r="B2308" t="str">
        <f>VLOOKUP(A2308,'Area Breakdown'!$B$1:$C$33,2,)</f>
        <v>New Cairo</v>
      </c>
      <c r="C2308" s="2">
        <v>44384</v>
      </c>
      <c r="D2308" s="3">
        <v>1673.6000000000001</v>
      </c>
    </row>
    <row r="2309" spans="1:4" ht="14.7" hidden="1" thickBot="1" x14ac:dyDescent="0.6">
      <c r="A2309" s="1" t="s">
        <v>1</v>
      </c>
      <c r="B2309" t="str">
        <f>VLOOKUP(A2309,'Area Breakdown'!$B$1:$C$33,2,)</f>
        <v>Downtown</v>
      </c>
      <c r="C2309" s="2">
        <v>44385</v>
      </c>
      <c r="D2309" s="3">
        <v>1050.4000000000001</v>
      </c>
    </row>
    <row r="2310" spans="1:4" ht="14.7" hidden="1" thickBot="1" x14ac:dyDescent="0.6">
      <c r="A2310" s="1" t="s">
        <v>2</v>
      </c>
      <c r="B2310" t="str">
        <f>VLOOKUP(A2310,'Area Breakdown'!$B$1:$C$33,2,)</f>
        <v>Downtown</v>
      </c>
      <c r="C2310" s="2">
        <v>44385</v>
      </c>
      <c r="D2310" s="3">
        <v>1036.4000000000001</v>
      </c>
    </row>
    <row r="2311" spans="1:4" ht="14.7" hidden="1" thickBot="1" x14ac:dyDescent="0.6">
      <c r="A2311" s="1" t="s">
        <v>24</v>
      </c>
      <c r="B2311" t="str">
        <f>VLOOKUP(A2311,'Area Breakdown'!$B$1:$C$33,2,)</f>
        <v>October</v>
      </c>
      <c r="C2311" s="2">
        <v>44385</v>
      </c>
      <c r="D2311" s="3">
        <v>1017.2</v>
      </c>
    </row>
    <row r="2312" spans="1:4" ht="14.7" hidden="1" thickBot="1" x14ac:dyDescent="0.6">
      <c r="A2312" s="1" t="s">
        <v>13</v>
      </c>
      <c r="B2312" t="str">
        <f>VLOOKUP(A2312,'Area Breakdown'!$B$1:$C$33,2,)</f>
        <v>Heliopolis</v>
      </c>
      <c r="C2312" s="2">
        <v>44385</v>
      </c>
      <c r="D2312" s="3">
        <v>975.2</v>
      </c>
    </row>
    <row r="2313" spans="1:4" ht="14.7" hidden="1" thickBot="1" x14ac:dyDescent="0.6">
      <c r="A2313" s="1" t="s">
        <v>10</v>
      </c>
      <c r="B2313" t="str">
        <f>VLOOKUP(A2313,'Area Breakdown'!$B$1:$C$33,2,)</f>
        <v xml:space="preserve">Alexandria </v>
      </c>
      <c r="C2313" s="2">
        <v>44385</v>
      </c>
      <c r="D2313" s="3">
        <v>956.40000000000009</v>
      </c>
    </row>
    <row r="2314" spans="1:4" ht="14.7" hidden="1" thickBot="1" x14ac:dyDescent="0.6">
      <c r="A2314" s="1" t="s">
        <v>11</v>
      </c>
      <c r="B2314" t="str">
        <f>VLOOKUP(A2314,'Area Breakdown'!$B$1:$C$33,2,)</f>
        <v>New Cairo</v>
      </c>
      <c r="C2314" s="2">
        <v>44385</v>
      </c>
      <c r="D2314" s="3">
        <v>955.6</v>
      </c>
    </row>
    <row r="2315" spans="1:4" ht="14.7" hidden="1" thickBot="1" x14ac:dyDescent="0.6">
      <c r="A2315" s="1" t="s">
        <v>21</v>
      </c>
      <c r="B2315" t="str">
        <f>VLOOKUP(A2315,'Area Breakdown'!$B$1:$C$33,2,)</f>
        <v>Heliopolis</v>
      </c>
      <c r="C2315" s="2">
        <v>44385</v>
      </c>
      <c r="D2315" s="3">
        <v>946.40000000000009</v>
      </c>
    </row>
    <row r="2316" spans="1:4" ht="14.7" hidden="1" thickBot="1" x14ac:dyDescent="0.6">
      <c r="A2316" s="1" t="s">
        <v>3</v>
      </c>
      <c r="B2316" t="str">
        <f>VLOOKUP(A2316,'Area Breakdown'!$B$1:$C$33,2,)</f>
        <v>Downtown</v>
      </c>
      <c r="C2316" s="2">
        <v>44385</v>
      </c>
      <c r="D2316" s="3">
        <v>934</v>
      </c>
    </row>
    <row r="2317" spans="1:4" ht="14.7" hidden="1" thickBot="1" x14ac:dyDescent="0.6">
      <c r="A2317" s="1" t="s">
        <v>20</v>
      </c>
      <c r="B2317" t="str">
        <f>VLOOKUP(A2317,'Area Breakdown'!$B$1:$C$33,2,)</f>
        <v>Downtown</v>
      </c>
      <c r="C2317" s="2">
        <v>44385</v>
      </c>
      <c r="D2317" s="3">
        <v>918.80000000000007</v>
      </c>
    </row>
    <row r="2318" spans="1:4" ht="14.7" hidden="1" thickBot="1" x14ac:dyDescent="0.6">
      <c r="A2318" s="1" t="s">
        <v>25</v>
      </c>
      <c r="B2318" t="str">
        <f>VLOOKUP(A2318,'Area Breakdown'!$B$1:$C$33,2,)</f>
        <v>October</v>
      </c>
      <c r="C2318" s="2">
        <v>44385</v>
      </c>
      <c r="D2318" s="3">
        <v>840.80000000000007</v>
      </c>
    </row>
    <row r="2319" spans="1:4" ht="14.7" hidden="1" thickBot="1" x14ac:dyDescent="0.6">
      <c r="A2319" s="1" t="s">
        <v>16</v>
      </c>
      <c r="B2319" t="str">
        <f>VLOOKUP(A2319,'Area Breakdown'!$B$1:$C$33,2,)</f>
        <v>Downtown</v>
      </c>
      <c r="C2319" s="2">
        <v>44385</v>
      </c>
      <c r="D2319" s="3">
        <v>826</v>
      </c>
    </row>
    <row r="2320" spans="1:4" ht="14.7" hidden="1" thickBot="1" x14ac:dyDescent="0.6">
      <c r="A2320" s="1" t="s">
        <v>22</v>
      </c>
      <c r="B2320" t="str">
        <f>VLOOKUP(A2320,'Area Breakdown'!$B$1:$C$33,2,)</f>
        <v>Heliopolis</v>
      </c>
      <c r="C2320" s="2">
        <v>44385</v>
      </c>
      <c r="D2320" s="3">
        <v>796</v>
      </c>
    </row>
    <row r="2321" spans="1:4" ht="14.7" hidden="1" thickBot="1" x14ac:dyDescent="0.6">
      <c r="A2321" s="1" t="s">
        <v>8</v>
      </c>
      <c r="B2321" t="str">
        <f>VLOOKUP(A2321,'Area Breakdown'!$B$1:$C$33,2,)</f>
        <v>Heliopolis</v>
      </c>
      <c r="C2321" s="2">
        <v>44385</v>
      </c>
      <c r="D2321" s="3">
        <v>776.80000000000007</v>
      </c>
    </row>
    <row r="2322" spans="1:4" ht="14.7" hidden="1" thickBot="1" x14ac:dyDescent="0.6">
      <c r="A2322" s="1" t="s">
        <v>17</v>
      </c>
      <c r="B2322" t="str">
        <f>VLOOKUP(A2322,'Area Breakdown'!$B$1:$C$33,2,)</f>
        <v>Heliopolis</v>
      </c>
      <c r="C2322" s="2">
        <v>44385</v>
      </c>
      <c r="D2322" s="3">
        <v>725.6</v>
      </c>
    </row>
    <row r="2323" spans="1:4" ht="14.7" hidden="1" thickBot="1" x14ac:dyDescent="0.6">
      <c r="A2323" s="1" t="s">
        <v>27</v>
      </c>
      <c r="B2323" t="str">
        <f>VLOOKUP(A2323,'Area Breakdown'!$B$1:$C$33,2,)</f>
        <v xml:space="preserve">Alexandria </v>
      </c>
      <c r="C2323" s="2">
        <v>44385</v>
      </c>
      <c r="D2323" s="3">
        <v>718.40000000000009</v>
      </c>
    </row>
    <row r="2324" spans="1:4" ht="14.7" hidden="1" thickBot="1" x14ac:dyDescent="0.6">
      <c r="A2324" s="1" t="s">
        <v>4</v>
      </c>
      <c r="B2324" t="str">
        <f>VLOOKUP(A2324,'Area Breakdown'!$B$1:$C$33,2,)</f>
        <v>Downtown</v>
      </c>
      <c r="C2324" s="2">
        <v>44385</v>
      </c>
      <c r="D2324" s="3">
        <v>621.6</v>
      </c>
    </row>
    <row r="2325" spans="1:4" ht="14.7" hidden="1" thickBot="1" x14ac:dyDescent="0.6">
      <c r="A2325" s="1" t="s">
        <v>15</v>
      </c>
      <c r="B2325" t="str">
        <f>VLOOKUP(A2325,'Area Breakdown'!$B$1:$C$33,2,)</f>
        <v>Heliopolis</v>
      </c>
      <c r="C2325" s="2">
        <v>44385</v>
      </c>
      <c r="D2325" s="3">
        <v>465.20000000000005</v>
      </c>
    </row>
    <row r="2326" spans="1:4" ht="14.7" hidden="1" thickBot="1" x14ac:dyDescent="0.6">
      <c r="A2326" s="1" t="s">
        <v>6</v>
      </c>
      <c r="B2326" t="str">
        <f>VLOOKUP(A2326,'Area Breakdown'!$B$1:$C$33,2,)</f>
        <v xml:space="preserve">Alexandria </v>
      </c>
      <c r="C2326" s="2">
        <v>44385</v>
      </c>
      <c r="D2326" s="3">
        <v>400.8</v>
      </c>
    </row>
    <row r="2327" spans="1:4" ht="14.7" hidden="1" thickBot="1" x14ac:dyDescent="0.6">
      <c r="A2327" s="1" t="s">
        <v>7</v>
      </c>
      <c r="B2327" t="str">
        <f>VLOOKUP(A2327,'Area Breakdown'!$B$1:$C$33,2,)</f>
        <v>October</v>
      </c>
      <c r="C2327" s="2">
        <v>44385</v>
      </c>
      <c r="D2327" s="3">
        <v>394</v>
      </c>
    </row>
    <row r="2328" spans="1:4" ht="14.7" hidden="1" thickBot="1" x14ac:dyDescent="0.6">
      <c r="A2328" s="1" t="s">
        <v>29</v>
      </c>
      <c r="B2328" t="str">
        <f>VLOOKUP(A2328,'Area Breakdown'!$B$1:$C$33,2,)</f>
        <v>Downtown</v>
      </c>
      <c r="C2328" s="2">
        <v>44385</v>
      </c>
      <c r="D2328" s="3">
        <v>388.8</v>
      </c>
    </row>
    <row r="2329" spans="1:4" ht="14.7" hidden="1" thickBot="1" x14ac:dyDescent="0.6">
      <c r="A2329" s="1" t="s">
        <v>9</v>
      </c>
      <c r="B2329" t="str">
        <f>VLOOKUP(A2329,'Area Breakdown'!$B$1:$C$33,2,)</f>
        <v xml:space="preserve">Alexandria </v>
      </c>
      <c r="C2329" s="2">
        <v>44385</v>
      </c>
      <c r="D2329" s="3">
        <v>341.6</v>
      </c>
    </row>
    <row r="2330" spans="1:4" ht="14.7" hidden="1" thickBot="1" x14ac:dyDescent="0.6">
      <c r="A2330" s="1" t="s">
        <v>30</v>
      </c>
      <c r="B2330" t="str">
        <f>VLOOKUP(A2330,'Area Breakdown'!$B$1:$C$33,2,)</f>
        <v>October</v>
      </c>
      <c r="C2330" s="2">
        <v>44385</v>
      </c>
      <c r="D2330" s="3">
        <v>338.8</v>
      </c>
    </row>
    <row r="2331" spans="1:4" ht="14.7" hidden="1" thickBot="1" x14ac:dyDescent="0.6">
      <c r="A2331" s="1" t="s">
        <v>23</v>
      </c>
      <c r="B2331" t="str">
        <f>VLOOKUP(A2331,'Area Breakdown'!$B$1:$C$33,2,)</f>
        <v>Heliopolis</v>
      </c>
      <c r="C2331" s="2">
        <v>44385</v>
      </c>
      <c r="D2331" s="3">
        <v>243.60000000000002</v>
      </c>
    </row>
    <row r="2332" spans="1:4" ht="14.7" hidden="1" thickBot="1" x14ac:dyDescent="0.6">
      <c r="A2332" s="1" t="s">
        <v>0</v>
      </c>
      <c r="B2332" t="str">
        <f>VLOOKUP(A2332,'Area Breakdown'!$B$1:$C$33,2,)</f>
        <v>Downtown</v>
      </c>
      <c r="C2332" s="2">
        <v>44385</v>
      </c>
      <c r="D2332" s="3">
        <v>1764.4</v>
      </c>
    </row>
    <row r="2333" spans="1:4" ht="14.7" hidden="1" thickBot="1" x14ac:dyDescent="0.6">
      <c r="A2333" s="1" t="s">
        <v>19</v>
      </c>
      <c r="B2333" t="str">
        <f>VLOOKUP(A2333,'Area Breakdown'!$B$1:$C$33,2,)</f>
        <v>Downtown</v>
      </c>
      <c r="C2333" s="2">
        <v>44385</v>
      </c>
      <c r="D2333" s="3">
        <v>1746.4</v>
      </c>
    </row>
    <row r="2334" spans="1:4" ht="14.7" hidden="1" thickBot="1" x14ac:dyDescent="0.6">
      <c r="A2334" s="1" t="s">
        <v>12</v>
      </c>
      <c r="B2334" t="str">
        <f>VLOOKUP(A2334,'Area Breakdown'!$B$1:$C$33,2,)</f>
        <v>New Cairo</v>
      </c>
      <c r="C2334" s="2">
        <v>44385</v>
      </c>
      <c r="D2334" s="3">
        <v>1692</v>
      </c>
    </row>
    <row r="2335" spans="1:4" ht="14.7" hidden="1" thickBot="1" x14ac:dyDescent="0.6">
      <c r="A2335" s="1" t="s">
        <v>21</v>
      </c>
      <c r="B2335" t="str">
        <f>VLOOKUP(A2335,'Area Breakdown'!$B$1:$C$33,2,)</f>
        <v>Heliopolis</v>
      </c>
      <c r="C2335" s="2">
        <v>44386</v>
      </c>
      <c r="D2335" s="3">
        <v>1259.6000000000001</v>
      </c>
    </row>
    <row r="2336" spans="1:4" ht="14.7" hidden="1" thickBot="1" x14ac:dyDescent="0.6">
      <c r="A2336" s="1" t="s">
        <v>3</v>
      </c>
      <c r="B2336" t="str">
        <f>VLOOKUP(A2336,'Area Breakdown'!$B$1:$C$33,2,)</f>
        <v>Downtown</v>
      </c>
      <c r="C2336" s="2">
        <v>44386</v>
      </c>
      <c r="D2336" s="3">
        <v>1072.4000000000001</v>
      </c>
    </row>
    <row r="2337" spans="1:4" ht="14.7" hidden="1" thickBot="1" x14ac:dyDescent="0.6">
      <c r="A2337" s="1" t="s">
        <v>16</v>
      </c>
      <c r="B2337" t="str">
        <f>VLOOKUP(A2337,'Area Breakdown'!$B$1:$C$33,2,)</f>
        <v>Downtown</v>
      </c>
      <c r="C2337" s="2">
        <v>44386</v>
      </c>
      <c r="D2337" s="3">
        <v>1062.4000000000001</v>
      </c>
    </row>
    <row r="2338" spans="1:4" ht="14.7" hidden="1" thickBot="1" x14ac:dyDescent="0.6">
      <c r="A2338" s="1" t="s">
        <v>25</v>
      </c>
      <c r="B2338" t="str">
        <f>VLOOKUP(A2338,'Area Breakdown'!$B$1:$C$33,2,)</f>
        <v>October</v>
      </c>
      <c r="C2338" s="2">
        <v>44386</v>
      </c>
      <c r="D2338" s="3">
        <v>960.80000000000007</v>
      </c>
    </row>
    <row r="2339" spans="1:4" ht="14.7" hidden="1" thickBot="1" x14ac:dyDescent="0.6">
      <c r="A2339" s="1" t="s">
        <v>1</v>
      </c>
      <c r="B2339" t="str">
        <f>VLOOKUP(A2339,'Area Breakdown'!$B$1:$C$33,2,)</f>
        <v>Downtown</v>
      </c>
      <c r="C2339" s="2">
        <v>44386</v>
      </c>
      <c r="D2339" s="3">
        <v>927.2</v>
      </c>
    </row>
    <row r="2340" spans="1:4" ht="14.7" hidden="1" thickBot="1" x14ac:dyDescent="0.6">
      <c r="A2340" s="1" t="s">
        <v>15</v>
      </c>
      <c r="B2340" t="str">
        <f>VLOOKUP(A2340,'Area Breakdown'!$B$1:$C$33,2,)</f>
        <v>Heliopolis</v>
      </c>
      <c r="C2340" s="2">
        <v>44386</v>
      </c>
      <c r="D2340" s="3">
        <v>921.6</v>
      </c>
    </row>
    <row r="2341" spans="1:4" ht="14.7" hidden="1" thickBot="1" x14ac:dyDescent="0.6">
      <c r="A2341" s="1" t="s">
        <v>17</v>
      </c>
      <c r="B2341" t="str">
        <f>VLOOKUP(A2341,'Area Breakdown'!$B$1:$C$33,2,)</f>
        <v>Heliopolis</v>
      </c>
      <c r="C2341" s="2">
        <v>44386</v>
      </c>
      <c r="D2341" s="3">
        <v>815.6</v>
      </c>
    </row>
    <row r="2342" spans="1:4" ht="14.7" hidden="1" thickBot="1" x14ac:dyDescent="0.6">
      <c r="A2342" s="1" t="s">
        <v>20</v>
      </c>
      <c r="B2342" t="str">
        <f>VLOOKUP(A2342,'Area Breakdown'!$B$1:$C$33,2,)</f>
        <v>Downtown</v>
      </c>
      <c r="C2342" s="2">
        <v>44386</v>
      </c>
      <c r="D2342" s="3">
        <v>811.2</v>
      </c>
    </row>
    <row r="2343" spans="1:4" ht="14.7" hidden="1" thickBot="1" x14ac:dyDescent="0.6">
      <c r="A2343" s="1" t="s">
        <v>22</v>
      </c>
      <c r="B2343" t="str">
        <f>VLOOKUP(A2343,'Area Breakdown'!$B$1:$C$33,2,)</f>
        <v>Heliopolis</v>
      </c>
      <c r="C2343" s="2">
        <v>44386</v>
      </c>
      <c r="D2343" s="3">
        <v>751.2</v>
      </c>
    </row>
    <row r="2344" spans="1:4" ht="14.7" hidden="1" thickBot="1" x14ac:dyDescent="0.6">
      <c r="A2344" s="1" t="s">
        <v>24</v>
      </c>
      <c r="B2344" t="str">
        <f>VLOOKUP(A2344,'Area Breakdown'!$B$1:$C$33,2,)</f>
        <v>October</v>
      </c>
      <c r="C2344" s="2">
        <v>44386</v>
      </c>
      <c r="D2344" s="3">
        <v>638.80000000000007</v>
      </c>
    </row>
    <row r="2345" spans="1:4" ht="14.7" hidden="1" thickBot="1" x14ac:dyDescent="0.6">
      <c r="A2345" s="1" t="s">
        <v>19</v>
      </c>
      <c r="B2345" t="str">
        <f>VLOOKUP(A2345,'Area Breakdown'!$B$1:$C$33,2,)</f>
        <v>Downtown</v>
      </c>
      <c r="C2345" s="2">
        <v>44386</v>
      </c>
      <c r="D2345" s="3">
        <v>625.20000000000005</v>
      </c>
    </row>
    <row r="2346" spans="1:4" ht="14.7" hidden="1" thickBot="1" x14ac:dyDescent="0.6">
      <c r="A2346" s="1" t="s">
        <v>11</v>
      </c>
      <c r="B2346" t="str">
        <f>VLOOKUP(A2346,'Area Breakdown'!$B$1:$C$33,2,)</f>
        <v>New Cairo</v>
      </c>
      <c r="C2346" s="2">
        <v>44386</v>
      </c>
      <c r="D2346" s="3">
        <v>558.80000000000007</v>
      </c>
    </row>
    <row r="2347" spans="1:4" ht="14.7" hidden="1" thickBot="1" x14ac:dyDescent="0.6">
      <c r="A2347" s="1" t="s">
        <v>0</v>
      </c>
      <c r="B2347" t="str">
        <f>VLOOKUP(A2347,'Area Breakdown'!$B$1:$C$33,2,)</f>
        <v>Downtown</v>
      </c>
      <c r="C2347" s="2">
        <v>44386</v>
      </c>
      <c r="D2347" s="3">
        <v>557.6</v>
      </c>
    </row>
    <row r="2348" spans="1:4" ht="14.7" hidden="1" thickBot="1" x14ac:dyDescent="0.6">
      <c r="A2348" s="1" t="s">
        <v>9</v>
      </c>
      <c r="B2348" t="str">
        <f>VLOOKUP(A2348,'Area Breakdown'!$B$1:$C$33,2,)</f>
        <v xml:space="preserve">Alexandria </v>
      </c>
      <c r="C2348" s="2">
        <v>44386</v>
      </c>
      <c r="D2348" s="3">
        <v>533.20000000000005</v>
      </c>
    </row>
    <row r="2349" spans="1:4" ht="14.7" hidden="1" thickBot="1" x14ac:dyDescent="0.6">
      <c r="A2349" s="1" t="s">
        <v>6</v>
      </c>
      <c r="B2349" t="str">
        <f>VLOOKUP(A2349,'Area Breakdown'!$B$1:$C$33,2,)</f>
        <v xml:space="preserve">Alexandria </v>
      </c>
      <c r="C2349" s="2">
        <v>44386</v>
      </c>
      <c r="D2349" s="3">
        <v>422</v>
      </c>
    </row>
    <row r="2350" spans="1:4" ht="14.7" hidden="1" thickBot="1" x14ac:dyDescent="0.6">
      <c r="A2350" s="1" t="s">
        <v>2</v>
      </c>
      <c r="B2350" t="str">
        <f>VLOOKUP(A2350,'Area Breakdown'!$B$1:$C$33,2,)</f>
        <v>Downtown</v>
      </c>
      <c r="C2350" s="2">
        <v>44386</v>
      </c>
      <c r="D2350" s="3">
        <v>416.40000000000003</v>
      </c>
    </row>
    <row r="2351" spans="1:4" ht="14.7" hidden="1" thickBot="1" x14ac:dyDescent="0.6">
      <c r="A2351" s="1" t="s">
        <v>30</v>
      </c>
      <c r="B2351" t="str">
        <f>VLOOKUP(A2351,'Area Breakdown'!$B$1:$C$33,2,)</f>
        <v>October</v>
      </c>
      <c r="C2351" s="2">
        <v>44386</v>
      </c>
      <c r="D2351" s="3">
        <v>414</v>
      </c>
    </row>
    <row r="2352" spans="1:4" ht="14.7" hidden="1" thickBot="1" x14ac:dyDescent="0.6">
      <c r="A2352" s="1" t="s">
        <v>13</v>
      </c>
      <c r="B2352" t="str">
        <f>VLOOKUP(A2352,'Area Breakdown'!$B$1:$C$33,2,)</f>
        <v>Heliopolis</v>
      </c>
      <c r="C2352" s="2">
        <v>44386</v>
      </c>
      <c r="D2352" s="3">
        <v>406.40000000000003</v>
      </c>
    </row>
    <row r="2353" spans="1:4" ht="14.7" hidden="1" thickBot="1" x14ac:dyDescent="0.6">
      <c r="A2353" s="1" t="s">
        <v>27</v>
      </c>
      <c r="B2353" t="str">
        <f>VLOOKUP(A2353,'Area Breakdown'!$B$1:$C$33,2,)</f>
        <v xml:space="preserve">Alexandria </v>
      </c>
      <c r="C2353" s="2">
        <v>44386</v>
      </c>
      <c r="D2353" s="3">
        <v>385.20000000000005</v>
      </c>
    </row>
    <row r="2354" spans="1:4" ht="14.7" hidden="1" thickBot="1" x14ac:dyDescent="0.6">
      <c r="A2354" s="1" t="s">
        <v>10</v>
      </c>
      <c r="B2354" t="str">
        <f>VLOOKUP(A2354,'Area Breakdown'!$B$1:$C$33,2,)</f>
        <v xml:space="preserve">Alexandria </v>
      </c>
      <c r="C2354" s="2">
        <v>44386</v>
      </c>
      <c r="D2354" s="3">
        <v>377.6</v>
      </c>
    </row>
    <row r="2355" spans="1:4" ht="14.7" hidden="1" thickBot="1" x14ac:dyDescent="0.6">
      <c r="A2355" s="1" t="s">
        <v>4</v>
      </c>
      <c r="B2355" t="str">
        <f>VLOOKUP(A2355,'Area Breakdown'!$B$1:$C$33,2,)</f>
        <v>Downtown</v>
      </c>
      <c r="C2355" s="2">
        <v>44386</v>
      </c>
      <c r="D2355" s="3">
        <v>351.20000000000005</v>
      </c>
    </row>
    <row r="2356" spans="1:4" ht="14.7" hidden="1" thickBot="1" x14ac:dyDescent="0.6">
      <c r="A2356" s="1" t="s">
        <v>7</v>
      </c>
      <c r="B2356" t="str">
        <f>VLOOKUP(A2356,'Area Breakdown'!$B$1:$C$33,2,)</f>
        <v>October</v>
      </c>
      <c r="C2356" s="2">
        <v>44386</v>
      </c>
      <c r="D2356" s="3">
        <v>290</v>
      </c>
    </row>
    <row r="2357" spans="1:4" ht="14.7" hidden="1" thickBot="1" x14ac:dyDescent="0.6">
      <c r="A2357" s="1" t="s">
        <v>8</v>
      </c>
      <c r="B2357" t="str">
        <f>VLOOKUP(A2357,'Area Breakdown'!$B$1:$C$33,2,)</f>
        <v>Heliopolis</v>
      </c>
      <c r="C2357" s="2">
        <v>44386</v>
      </c>
      <c r="D2357" s="3">
        <v>120</v>
      </c>
    </row>
    <row r="2358" spans="1:4" ht="14.7" hidden="1" thickBot="1" x14ac:dyDescent="0.6">
      <c r="A2358" s="1" t="s">
        <v>23</v>
      </c>
      <c r="B2358" t="str">
        <f>VLOOKUP(A2358,'Area Breakdown'!$B$1:$C$33,2,)</f>
        <v>Heliopolis</v>
      </c>
      <c r="C2358" s="2">
        <v>44386</v>
      </c>
      <c r="D2358" s="3">
        <v>108.80000000000001</v>
      </c>
    </row>
    <row r="2359" spans="1:4" ht="14.7" hidden="1" thickBot="1" x14ac:dyDescent="0.6">
      <c r="A2359" s="1" t="s">
        <v>12</v>
      </c>
      <c r="B2359" t="str">
        <f>VLOOKUP(A2359,'Area Breakdown'!$B$1:$C$33,2,)</f>
        <v>New Cairo</v>
      </c>
      <c r="C2359" s="2">
        <v>44386</v>
      </c>
      <c r="D2359" s="3">
        <v>1641.2</v>
      </c>
    </row>
    <row r="2360" spans="1:4" ht="14.7" hidden="1" thickBot="1" x14ac:dyDescent="0.6">
      <c r="A2360" s="1" t="s">
        <v>16</v>
      </c>
      <c r="B2360" t="str">
        <f>VLOOKUP(A2360,'Area Breakdown'!$B$1:$C$33,2,)</f>
        <v>Downtown</v>
      </c>
      <c r="C2360" s="2">
        <v>44387</v>
      </c>
      <c r="D2360" s="3">
        <v>1154.8</v>
      </c>
    </row>
    <row r="2361" spans="1:4" ht="14.7" hidden="1" thickBot="1" x14ac:dyDescent="0.6">
      <c r="A2361" s="1" t="s">
        <v>22</v>
      </c>
      <c r="B2361" t="str">
        <f>VLOOKUP(A2361,'Area Breakdown'!$B$1:$C$33,2,)</f>
        <v>Heliopolis</v>
      </c>
      <c r="C2361" s="2">
        <v>44387</v>
      </c>
      <c r="D2361" s="3">
        <v>1108</v>
      </c>
    </row>
    <row r="2362" spans="1:4" ht="14.7" hidden="1" thickBot="1" x14ac:dyDescent="0.6">
      <c r="A2362" s="1" t="s">
        <v>21</v>
      </c>
      <c r="B2362" t="str">
        <f>VLOOKUP(A2362,'Area Breakdown'!$B$1:$C$33,2,)</f>
        <v>Heliopolis</v>
      </c>
      <c r="C2362" s="2">
        <v>44387</v>
      </c>
      <c r="D2362" s="3">
        <v>1075.6000000000001</v>
      </c>
    </row>
    <row r="2363" spans="1:4" ht="14.7" hidden="1" thickBot="1" x14ac:dyDescent="0.6">
      <c r="A2363" s="1" t="s">
        <v>20</v>
      </c>
      <c r="B2363" t="str">
        <f>VLOOKUP(A2363,'Area Breakdown'!$B$1:$C$33,2,)</f>
        <v>Downtown</v>
      </c>
      <c r="C2363" s="2">
        <v>44387</v>
      </c>
      <c r="D2363" s="3">
        <v>920</v>
      </c>
    </row>
    <row r="2364" spans="1:4" ht="14.7" hidden="1" thickBot="1" x14ac:dyDescent="0.6">
      <c r="A2364" s="1" t="s">
        <v>12</v>
      </c>
      <c r="B2364" t="str">
        <f>VLOOKUP(A2364,'Area Breakdown'!$B$1:$C$33,2,)</f>
        <v>New Cairo</v>
      </c>
      <c r="C2364" s="2">
        <v>44387</v>
      </c>
      <c r="D2364" s="3">
        <v>774</v>
      </c>
    </row>
    <row r="2365" spans="1:4" ht="14.7" hidden="1" thickBot="1" x14ac:dyDescent="0.6">
      <c r="A2365" s="1" t="s">
        <v>27</v>
      </c>
      <c r="B2365" t="str">
        <f>VLOOKUP(A2365,'Area Breakdown'!$B$1:$C$33,2,)</f>
        <v xml:space="preserve">Alexandria </v>
      </c>
      <c r="C2365" s="2">
        <v>44387</v>
      </c>
      <c r="D2365" s="3">
        <v>768.40000000000009</v>
      </c>
    </row>
    <row r="2366" spans="1:4" ht="14.7" hidden="1" thickBot="1" x14ac:dyDescent="0.6">
      <c r="A2366" s="1" t="s">
        <v>10</v>
      </c>
      <c r="B2366" t="str">
        <f>VLOOKUP(A2366,'Area Breakdown'!$B$1:$C$33,2,)</f>
        <v xml:space="preserve">Alexandria </v>
      </c>
      <c r="C2366" s="2">
        <v>44387</v>
      </c>
      <c r="D2366" s="3">
        <v>656.40000000000009</v>
      </c>
    </row>
    <row r="2367" spans="1:4" ht="14.7" hidden="1" thickBot="1" x14ac:dyDescent="0.6">
      <c r="A2367" s="1" t="s">
        <v>0</v>
      </c>
      <c r="B2367" t="str">
        <f>VLOOKUP(A2367,'Area Breakdown'!$B$1:$C$33,2,)</f>
        <v>Downtown</v>
      </c>
      <c r="C2367" s="2">
        <v>44387</v>
      </c>
      <c r="D2367" s="3">
        <v>633.20000000000005</v>
      </c>
    </row>
    <row r="2368" spans="1:4" ht="14.7" hidden="1" thickBot="1" x14ac:dyDescent="0.6">
      <c r="A2368" s="1" t="s">
        <v>19</v>
      </c>
      <c r="B2368" t="str">
        <f>VLOOKUP(A2368,'Area Breakdown'!$B$1:$C$33,2,)</f>
        <v>Downtown</v>
      </c>
      <c r="C2368" s="2">
        <v>44387</v>
      </c>
      <c r="D2368" s="3">
        <v>582.80000000000007</v>
      </c>
    </row>
    <row r="2369" spans="1:4" ht="14.7" hidden="1" thickBot="1" x14ac:dyDescent="0.6">
      <c r="A2369" s="1" t="s">
        <v>1</v>
      </c>
      <c r="B2369" t="str">
        <f>VLOOKUP(A2369,'Area Breakdown'!$B$1:$C$33,2,)</f>
        <v>Downtown</v>
      </c>
      <c r="C2369" s="2">
        <v>44387</v>
      </c>
      <c r="D2369" s="3">
        <v>490</v>
      </c>
    </row>
    <row r="2370" spans="1:4" ht="14.7" hidden="1" thickBot="1" x14ac:dyDescent="0.6">
      <c r="A2370" s="1" t="s">
        <v>15</v>
      </c>
      <c r="B2370" t="str">
        <f>VLOOKUP(A2370,'Area Breakdown'!$B$1:$C$33,2,)</f>
        <v>Heliopolis</v>
      </c>
      <c r="C2370" s="2">
        <v>44387</v>
      </c>
      <c r="D2370" s="3">
        <v>472</v>
      </c>
    </row>
    <row r="2371" spans="1:4" ht="14.7" hidden="1" thickBot="1" x14ac:dyDescent="0.6">
      <c r="A2371" s="1" t="s">
        <v>3</v>
      </c>
      <c r="B2371" t="str">
        <f>VLOOKUP(A2371,'Area Breakdown'!$B$1:$C$33,2,)</f>
        <v>Downtown</v>
      </c>
      <c r="C2371" s="2">
        <v>44387</v>
      </c>
      <c r="D2371" s="3">
        <v>417.20000000000005</v>
      </c>
    </row>
    <row r="2372" spans="1:4" ht="14.7" hidden="1" thickBot="1" x14ac:dyDescent="0.6">
      <c r="A2372" s="1" t="s">
        <v>11</v>
      </c>
      <c r="B2372" t="str">
        <f>VLOOKUP(A2372,'Area Breakdown'!$B$1:$C$33,2,)</f>
        <v>New Cairo</v>
      </c>
      <c r="C2372" s="2">
        <v>44387</v>
      </c>
      <c r="D2372" s="3">
        <v>415.6</v>
      </c>
    </row>
    <row r="2373" spans="1:4" ht="14.7" hidden="1" thickBot="1" x14ac:dyDescent="0.6">
      <c r="A2373" s="1" t="s">
        <v>8</v>
      </c>
      <c r="B2373" t="str">
        <f>VLOOKUP(A2373,'Area Breakdown'!$B$1:$C$33,2,)</f>
        <v>Heliopolis</v>
      </c>
      <c r="C2373" s="2">
        <v>44387</v>
      </c>
      <c r="D2373" s="3">
        <v>395.20000000000005</v>
      </c>
    </row>
    <row r="2374" spans="1:4" ht="14.7" hidden="1" thickBot="1" x14ac:dyDescent="0.6">
      <c r="A2374" s="1" t="s">
        <v>17</v>
      </c>
      <c r="B2374" t="str">
        <f>VLOOKUP(A2374,'Area Breakdown'!$B$1:$C$33,2,)</f>
        <v>Heliopolis</v>
      </c>
      <c r="C2374" s="2">
        <v>44387</v>
      </c>
      <c r="D2374" s="3">
        <v>394.40000000000003</v>
      </c>
    </row>
    <row r="2375" spans="1:4" ht="14.7" hidden="1" thickBot="1" x14ac:dyDescent="0.6">
      <c r="A2375" s="1" t="s">
        <v>7</v>
      </c>
      <c r="B2375" t="str">
        <f>VLOOKUP(A2375,'Area Breakdown'!$B$1:$C$33,2,)</f>
        <v>October</v>
      </c>
      <c r="C2375" s="2">
        <v>44387</v>
      </c>
      <c r="D2375" s="3">
        <v>390.40000000000003</v>
      </c>
    </row>
    <row r="2376" spans="1:4" ht="14.7" hidden="1" thickBot="1" x14ac:dyDescent="0.6">
      <c r="A2376" s="1" t="s">
        <v>13</v>
      </c>
      <c r="B2376" t="str">
        <f>VLOOKUP(A2376,'Area Breakdown'!$B$1:$C$33,2,)</f>
        <v>Heliopolis</v>
      </c>
      <c r="C2376" s="2">
        <v>44387</v>
      </c>
      <c r="D2376" s="3">
        <v>379.6</v>
      </c>
    </row>
    <row r="2377" spans="1:4" ht="14.7" hidden="1" thickBot="1" x14ac:dyDescent="0.6">
      <c r="A2377" s="1" t="s">
        <v>9</v>
      </c>
      <c r="B2377" t="str">
        <f>VLOOKUP(A2377,'Area Breakdown'!$B$1:$C$33,2,)</f>
        <v xml:space="preserve">Alexandria </v>
      </c>
      <c r="C2377" s="2">
        <v>44387</v>
      </c>
      <c r="D2377" s="3">
        <v>376.8</v>
      </c>
    </row>
    <row r="2378" spans="1:4" ht="14.7" hidden="1" thickBot="1" x14ac:dyDescent="0.6">
      <c r="A2378" s="1" t="s">
        <v>25</v>
      </c>
      <c r="B2378" t="str">
        <f>VLOOKUP(A2378,'Area Breakdown'!$B$1:$C$33,2,)</f>
        <v>October</v>
      </c>
      <c r="C2378" s="2">
        <v>44387</v>
      </c>
      <c r="D2378" s="3">
        <v>348.8</v>
      </c>
    </row>
    <row r="2379" spans="1:4" ht="14.7" hidden="1" thickBot="1" x14ac:dyDescent="0.6">
      <c r="A2379" s="1" t="s">
        <v>6</v>
      </c>
      <c r="B2379" t="str">
        <f>VLOOKUP(A2379,'Area Breakdown'!$B$1:$C$33,2,)</f>
        <v xml:space="preserve">Alexandria </v>
      </c>
      <c r="C2379" s="2">
        <v>44387</v>
      </c>
      <c r="D2379" s="3">
        <v>292.8</v>
      </c>
    </row>
    <row r="2380" spans="1:4" ht="14.7" hidden="1" thickBot="1" x14ac:dyDescent="0.6">
      <c r="A2380" s="1" t="s">
        <v>30</v>
      </c>
      <c r="B2380" t="str">
        <f>VLOOKUP(A2380,'Area Breakdown'!$B$1:$C$33,2,)</f>
        <v>October</v>
      </c>
      <c r="C2380" s="2">
        <v>44387</v>
      </c>
      <c r="D2380" s="3">
        <v>281.60000000000002</v>
      </c>
    </row>
    <row r="2381" spans="1:4" ht="14.7" hidden="1" thickBot="1" x14ac:dyDescent="0.6">
      <c r="A2381" s="1" t="s">
        <v>24</v>
      </c>
      <c r="B2381" t="str">
        <f>VLOOKUP(A2381,'Area Breakdown'!$B$1:$C$33,2,)</f>
        <v>October</v>
      </c>
      <c r="C2381" s="2">
        <v>44387</v>
      </c>
      <c r="D2381" s="3">
        <v>260</v>
      </c>
    </row>
    <row r="2382" spans="1:4" ht="14.7" hidden="1" thickBot="1" x14ac:dyDescent="0.6">
      <c r="A2382" s="1" t="s">
        <v>4</v>
      </c>
      <c r="B2382" t="str">
        <f>VLOOKUP(A2382,'Area Breakdown'!$B$1:$C$33,2,)</f>
        <v>Downtown</v>
      </c>
      <c r="C2382" s="2">
        <v>44387</v>
      </c>
      <c r="D2382" s="3">
        <v>184.8</v>
      </c>
    </row>
    <row r="2383" spans="1:4" ht="14.7" hidden="1" thickBot="1" x14ac:dyDescent="0.6">
      <c r="A2383" s="1" t="s">
        <v>23</v>
      </c>
      <c r="B2383" t="str">
        <f>VLOOKUP(A2383,'Area Breakdown'!$B$1:$C$33,2,)</f>
        <v>Heliopolis</v>
      </c>
      <c r="C2383" s="2">
        <v>44387</v>
      </c>
      <c r="D2383" s="3">
        <v>164</v>
      </c>
    </row>
    <row r="2384" spans="1:4" ht="14.7" hidden="1" thickBot="1" x14ac:dyDescent="0.6">
      <c r="A2384" s="1" t="s">
        <v>0</v>
      </c>
      <c r="B2384" t="str">
        <f>VLOOKUP(A2384,'Area Breakdown'!$B$1:$C$33,2,)</f>
        <v>Downtown</v>
      </c>
      <c r="C2384" s="2">
        <v>44388</v>
      </c>
      <c r="D2384" s="3">
        <v>1611.2</v>
      </c>
    </row>
    <row r="2385" spans="1:4" ht="14.7" hidden="1" thickBot="1" x14ac:dyDescent="0.6">
      <c r="A2385" s="1" t="s">
        <v>19</v>
      </c>
      <c r="B2385" t="str">
        <f>VLOOKUP(A2385,'Area Breakdown'!$B$1:$C$33,2,)</f>
        <v>Downtown</v>
      </c>
      <c r="C2385" s="2">
        <v>44388</v>
      </c>
      <c r="D2385" s="3">
        <v>1456.8000000000002</v>
      </c>
    </row>
    <row r="2386" spans="1:4" ht="14.7" hidden="1" thickBot="1" x14ac:dyDescent="0.6">
      <c r="A2386" s="1" t="s">
        <v>12</v>
      </c>
      <c r="B2386" t="str">
        <f>VLOOKUP(A2386,'Area Breakdown'!$B$1:$C$33,2,)</f>
        <v>New Cairo</v>
      </c>
      <c r="C2386" s="2">
        <v>44388</v>
      </c>
      <c r="D2386" s="3">
        <v>1220.4000000000001</v>
      </c>
    </row>
    <row r="2387" spans="1:4" ht="14.7" hidden="1" thickBot="1" x14ac:dyDescent="0.6">
      <c r="A2387" s="1" t="s">
        <v>16</v>
      </c>
      <c r="B2387" t="str">
        <f>VLOOKUP(A2387,'Area Breakdown'!$B$1:$C$33,2,)</f>
        <v>Downtown</v>
      </c>
      <c r="C2387" s="2">
        <v>44388</v>
      </c>
      <c r="D2387" s="3">
        <v>1154</v>
      </c>
    </row>
    <row r="2388" spans="1:4" ht="14.7" hidden="1" thickBot="1" x14ac:dyDescent="0.6">
      <c r="A2388" s="1" t="s">
        <v>20</v>
      </c>
      <c r="B2388" t="str">
        <f>VLOOKUP(A2388,'Area Breakdown'!$B$1:$C$33,2,)</f>
        <v>Downtown</v>
      </c>
      <c r="C2388" s="2">
        <v>44388</v>
      </c>
      <c r="D2388" s="3">
        <v>1146.4000000000001</v>
      </c>
    </row>
    <row r="2389" spans="1:4" ht="14.7" hidden="1" thickBot="1" x14ac:dyDescent="0.6">
      <c r="A2389" s="1" t="s">
        <v>27</v>
      </c>
      <c r="B2389" t="str">
        <f>VLOOKUP(A2389,'Area Breakdown'!$B$1:$C$33,2,)</f>
        <v xml:space="preserve">Alexandria </v>
      </c>
      <c r="C2389" s="2">
        <v>44388</v>
      </c>
      <c r="D2389" s="3">
        <v>976.80000000000007</v>
      </c>
    </row>
    <row r="2390" spans="1:4" ht="14.7" hidden="1" thickBot="1" x14ac:dyDescent="0.6">
      <c r="A2390" s="1" t="s">
        <v>2</v>
      </c>
      <c r="B2390" t="str">
        <f>VLOOKUP(A2390,'Area Breakdown'!$B$1:$C$33,2,)</f>
        <v>Downtown</v>
      </c>
      <c r="C2390" s="2">
        <v>44388</v>
      </c>
      <c r="D2390" s="3">
        <v>922</v>
      </c>
    </row>
    <row r="2391" spans="1:4" ht="14.7" hidden="1" thickBot="1" x14ac:dyDescent="0.6">
      <c r="A2391" s="1" t="s">
        <v>24</v>
      </c>
      <c r="B2391" t="str">
        <f>VLOOKUP(A2391,'Area Breakdown'!$B$1:$C$33,2,)</f>
        <v>October</v>
      </c>
      <c r="C2391" s="2">
        <v>44388</v>
      </c>
      <c r="D2391" s="3">
        <v>821.6</v>
      </c>
    </row>
    <row r="2392" spans="1:4" ht="14.7" hidden="1" thickBot="1" x14ac:dyDescent="0.6">
      <c r="A2392" s="1" t="s">
        <v>11</v>
      </c>
      <c r="B2392" t="str">
        <f>VLOOKUP(A2392,'Area Breakdown'!$B$1:$C$33,2,)</f>
        <v>New Cairo</v>
      </c>
      <c r="C2392" s="2">
        <v>44388</v>
      </c>
      <c r="D2392" s="3">
        <v>801.6</v>
      </c>
    </row>
    <row r="2393" spans="1:4" ht="14.7" hidden="1" thickBot="1" x14ac:dyDescent="0.6">
      <c r="A2393" s="1" t="s">
        <v>22</v>
      </c>
      <c r="B2393" t="str">
        <f>VLOOKUP(A2393,'Area Breakdown'!$B$1:$C$33,2,)</f>
        <v>Heliopolis</v>
      </c>
      <c r="C2393" s="2">
        <v>44388</v>
      </c>
      <c r="D2393" s="3">
        <v>797.2</v>
      </c>
    </row>
    <row r="2394" spans="1:4" ht="14.7" hidden="1" thickBot="1" x14ac:dyDescent="0.6">
      <c r="A2394" s="1" t="s">
        <v>10</v>
      </c>
      <c r="B2394" t="str">
        <f>VLOOKUP(A2394,'Area Breakdown'!$B$1:$C$33,2,)</f>
        <v xml:space="preserve">Alexandria </v>
      </c>
      <c r="C2394" s="2">
        <v>44388</v>
      </c>
      <c r="D2394" s="3">
        <v>729.6</v>
      </c>
    </row>
    <row r="2395" spans="1:4" ht="14.7" hidden="1" thickBot="1" x14ac:dyDescent="0.6">
      <c r="A2395" s="1" t="s">
        <v>25</v>
      </c>
      <c r="B2395" t="str">
        <f>VLOOKUP(A2395,'Area Breakdown'!$B$1:$C$33,2,)</f>
        <v>October</v>
      </c>
      <c r="C2395" s="2">
        <v>44388</v>
      </c>
      <c r="D2395" s="3">
        <v>709.2</v>
      </c>
    </row>
    <row r="2396" spans="1:4" ht="14.7" hidden="1" thickBot="1" x14ac:dyDescent="0.6">
      <c r="A2396" s="1" t="s">
        <v>9</v>
      </c>
      <c r="B2396" t="str">
        <f>VLOOKUP(A2396,'Area Breakdown'!$B$1:$C$33,2,)</f>
        <v xml:space="preserve">Alexandria </v>
      </c>
      <c r="C2396" s="2">
        <v>44388</v>
      </c>
      <c r="D2396" s="3">
        <v>707.6</v>
      </c>
    </row>
    <row r="2397" spans="1:4" ht="14.7" hidden="1" thickBot="1" x14ac:dyDescent="0.6">
      <c r="A2397" s="1" t="s">
        <v>13</v>
      </c>
      <c r="B2397" t="str">
        <f>VLOOKUP(A2397,'Area Breakdown'!$B$1:$C$33,2,)</f>
        <v>Heliopolis</v>
      </c>
      <c r="C2397" s="2">
        <v>44388</v>
      </c>
      <c r="D2397" s="3">
        <v>692</v>
      </c>
    </row>
    <row r="2398" spans="1:4" ht="14.7" hidden="1" thickBot="1" x14ac:dyDescent="0.6">
      <c r="A2398" s="1" t="s">
        <v>23</v>
      </c>
      <c r="B2398" t="str">
        <f>VLOOKUP(A2398,'Area Breakdown'!$B$1:$C$33,2,)</f>
        <v>Heliopolis</v>
      </c>
      <c r="C2398" s="2">
        <v>44388</v>
      </c>
      <c r="D2398" s="3">
        <v>603.6</v>
      </c>
    </row>
    <row r="2399" spans="1:4" ht="14.7" hidden="1" thickBot="1" x14ac:dyDescent="0.6">
      <c r="A2399" s="1" t="s">
        <v>8</v>
      </c>
      <c r="B2399" t="str">
        <f>VLOOKUP(A2399,'Area Breakdown'!$B$1:$C$33,2,)</f>
        <v>Heliopolis</v>
      </c>
      <c r="C2399" s="2">
        <v>44388</v>
      </c>
      <c r="D2399" s="3">
        <v>585.20000000000005</v>
      </c>
    </row>
    <row r="2400" spans="1:4" ht="14.7" hidden="1" thickBot="1" x14ac:dyDescent="0.6">
      <c r="A2400" s="1" t="s">
        <v>3</v>
      </c>
      <c r="B2400" t="str">
        <f>VLOOKUP(A2400,'Area Breakdown'!$B$1:$C$33,2,)</f>
        <v>Downtown</v>
      </c>
      <c r="C2400" s="2">
        <v>44388</v>
      </c>
      <c r="D2400" s="3">
        <v>541.6</v>
      </c>
    </row>
    <row r="2401" spans="1:4" ht="14.7" hidden="1" thickBot="1" x14ac:dyDescent="0.6">
      <c r="A2401" s="1" t="s">
        <v>17</v>
      </c>
      <c r="B2401" t="str">
        <f>VLOOKUP(A2401,'Area Breakdown'!$B$1:$C$33,2,)</f>
        <v>Heliopolis</v>
      </c>
      <c r="C2401" s="2">
        <v>44388</v>
      </c>
      <c r="D2401" s="3">
        <v>529.20000000000005</v>
      </c>
    </row>
    <row r="2402" spans="1:4" ht="14.7" hidden="1" thickBot="1" x14ac:dyDescent="0.6">
      <c r="A2402" s="1" t="s">
        <v>15</v>
      </c>
      <c r="B2402" t="str">
        <f>VLOOKUP(A2402,'Area Breakdown'!$B$1:$C$33,2,)</f>
        <v>Heliopolis</v>
      </c>
      <c r="C2402" s="2">
        <v>44388</v>
      </c>
      <c r="D2402" s="3">
        <v>487.20000000000005</v>
      </c>
    </row>
    <row r="2403" spans="1:4" ht="14.7" hidden="1" thickBot="1" x14ac:dyDescent="0.6">
      <c r="A2403" s="1" t="s">
        <v>4</v>
      </c>
      <c r="B2403" t="str">
        <f>VLOOKUP(A2403,'Area Breakdown'!$B$1:$C$33,2,)</f>
        <v>Downtown</v>
      </c>
      <c r="C2403" s="2">
        <v>44388</v>
      </c>
      <c r="D2403" s="3">
        <v>374</v>
      </c>
    </row>
    <row r="2404" spans="1:4" ht="14.7" hidden="1" thickBot="1" x14ac:dyDescent="0.6">
      <c r="A2404" s="1" t="s">
        <v>30</v>
      </c>
      <c r="B2404" t="str">
        <f>VLOOKUP(A2404,'Area Breakdown'!$B$1:$C$33,2,)</f>
        <v>October</v>
      </c>
      <c r="C2404" s="2">
        <v>44388</v>
      </c>
      <c r="D2404" s="3">
        <v>265.2</v>
      </c>
    </row>
    <row r="2405" spans="1:4" ht="14.7" hidden="1" thickBot="1" x14ac:dyDescent="0.6">
      <c r="A2405" s="1" t="s">
        <v>29</v>
      </c>
      <c r="B2405" t="str">
        <f>VLOOKUP(A2405,'Area Breakdown'!$B$1:$C$33,2,)</f>
        <v>Downtown</v>
      </c>
      <c r="C2405" s="2">
        <v>44388</v>
      </c>
      <c r="D2405" s="3">
        <v>257.60000000000002</v>
      </c>
    </row>
    <row r="2406" spans="1:4" ht="14.7" hidden="1" thickBot="1" x14ac:dyDescent="0.6">
      <c r="A2406" s="1" t="s">
        <v>6</v>
      </c>
      <c r="B2406" t="str">
        <f>VLOOKUP(A2406,'Area Breakdown'!$B$1:$C$33,2,)</f>
        <v xml:space="preserve">Alexandria </v>
      </c>
      <c r="C2406" s="2">
        <v>44388</v>
      </c>
      <c r="D2406" s="3">
        <v>248.8</v>
      </c>
    </row>
    <row r="2407" spans="1:4" ht="14.7" hidden="1" thickBot="1" x14ac:dyDescent="0.6">
      <c r="A2407" s="1" t="s">
        <v>7</v>
      </c>
      <c r="B2407" t="str">
        <f>VLOOKUP(A2407,'Area Breakdown'!$B$1:$C$33,2,)</f>
        <v>October</v>
      </c>
      <c r="C2407" s="2">
        <v>44388</v>
      </c>
      <c r="D2407" s="3">
        <v>152.80000000000001</v>
      </c>
    </row>
    <row r="2408" spans="1:4" ht="14.7" hidden="1" thickBot="1" x14ac:dyDescent="0.6">
      <c r="A2408" s="1" t="s">
        <v>21</v>
      </c>
      <c r="B2408" t="str">
        <f>VLOOKUP(A2408,'Area Breakdown'!$B$1:$C$33,2,)</f>
        <v>Heliopolis</v>
      </c>
      <c r="C2408" s="2">
        <v>44388</v>
      </c>
      <c r="D2408" s="3">
        <v>1321.6000000000001</v>
      </c>
    </row>
    <row r="2409" spans="1:4" ht="14.7" hidden="1" thickBot="1" x14ac:dyDescent="0.6">
      <c r="A2409" s="1" t="s">
        <v>1</v>
      </c>
      <c r="B2409" t="str">
        <f>VLOOKUP(A2409,'Area Breakdown'!$B$1:$C$33,2,)</f>
        <v>Downtown</v>
      </c>
      <c r="C2409" s="2">
        <v>44388</v>
      </c>
      <c r="D2409" s="3">
        <v>1670.8000000000002</v>
      </c>
    </row>
    <row r="2410" spans="1:4" ht="14.7" hidden="1" thickBot="1" x14ac:dyDescent="0.6">
      <c r="A2410" s="1" t="s">
        <v>20</v>
      </c>
      <c r="B2410" t="str">
        <f>VLOOKUP(A2410,'Area Breakdown'!$B$1:$C$33,2,)</f>
        <v>Downtown</v>
      </c>
      <c r="C2410" s="2">
        <v>44389</v>
      </c>
      <c r="D2410" s="3">
        <v>1587.2</v>
      </c>
    </row>
    <row r="2411" spans="1:4" ht="14.7" hidden="1" thickBot="1" x14ac:dyDescent="0.6">
      <c r="A2411" s="1" t="s">
        <v>0</v>
      </c>
      <c r="B2411" t="str">
        <f>VLOOKUP(A2411,'Area Breakdown'!$B$1:$C$33,2,)</f>
        <v>Downtown</v>
      </c>
      <c r="C2411" s="2">
        <v>44389</v>
      </c>
      <c r="D2411" s="3">
        <v>1412.4</v>
      </c>
    </row>
    <row r="2412" spans="1:4" ht="14.7" hidden="1" thickBot="1" x14ac:dyDescent="0.6">
      <c r="A2412" s="1" t="s">
        <v>16</v>
      </c>
      <c r="B2412" t="str">
        <f>VLOOKUP(A2412,'Area Breakdown'!$B$1:$C$33,2,)</f>
        <v>Downtown</v>
      </c>
      <c r="C2412" s="2">
        <v>44389</v>
      </c>
      <c r="D2412" s="3">
        <v>1227.6000000000001</v>
      </c>
    </row>
    <row r="2413" spans="1:4" ht="14.7" hidden="1" thickBot="1" x14ac:dyDescent="0.6">
      <c r="A2413" s="1" t="s">
        <v>19</v>
      </c>
      <c r="B2413" t="str">
        <f>VLOOKUP(A2413,'Area Breakdown'!$B$1:$C$33,2,)</f>
        <v>Downtown</v>
      </c>
      <c r="C2413" s="2">
        <v>44389</v>
      </c>
      <c r="D2413" s="3">
        <v>1224.8</v>
      </c>
    </row>
    <row r="2414" spans="1:4" ht="14.7" hidden="1" thickBot="1" x14ac:dyDescent="0.6">
      <c r="A2414" s="1" t="s">
        <v>3</v>
      </c>
      <c r="B2414" t="str">
        <f>VLOOKUP(A2414,'Area Breakdown'!$B$1:$C$33,2,)</f>
        <v>Downtown</v>
      </c>
      <c r="C2414" s="2">
        <v>44389</v>
      </c>
      <c r="D2414" s="3">
        <v>1046.8</v>
      </c>
    </row>
    <row r="2415" spans="1:4" ht="14.7" hidden="1" thickBot="1" x14ac:dyDescent="0.6">
      <c r="A2415" s="1" t="s">
        <v>2</v>
      </c>
      <c r="B2415" t="str">
        <f>VLOOKUP(A2415,'Area Breakdown'!$B$1:$C$33,2,)</f>
        <v>Downtown</v>
      </c>
      <c r="C2415" s="2">
        <v>44389</v>
      </c>
      <c r="D2415" s="3">
        <v>1033.6000000000001</v>
      </c>
    </row>
    <row r="2416" spans="1:4" ht="14.7" hidden="1" thickBot="1" x14ac:dyDescent="0.6">
      <c r="A2416" s="1" t="s">
        <v>25</v>
      </c>
      <c r="B2416" t="str">
        <f>VLOOKUP(A2416,'Area Breakdown'!$B$1:$C$33,2,)</f>
        <v>October</v>
      </c>
      <c r="C2416" s="2">
        <v>44389</v>
      </c>
      <c r="D2416" s="3">
        <v>1028</v>
      </c>
    </row>
    <row r="2417" spans="1:4" ht="14.7" hidden="1" thickBot="1" x14ac:dyDescent="0.6">
      <c r="A2417" s="1" t="s">
        <v>11</v>
      </c>
      <c r="B2417" t="str">
        <f>VLOOKUP(A2417,'Area Breakdown'!$B$1:$C$33,2,)</f>
        <v>New Cairo</v>
      </c>
      <c r="C2417" s="2">
        <v>44389</v>
      </c>
      <c r="D2417" s="3">
        <v>979.2</v>
      </c>
    </row>
    <row r="2418" spans="1:4" ht="14.7" hidden="1" thickBot="1" x14ac:dyDescent="0.6">
      <c r="A2418" s="1" t="s">
        <v>13</v>
      </c>
      <c r="B2418" t="str">
        <f>VLOOKUP(A2418,'Area Breakdown'!$B$1:$C$33,2,)</f>
        <v>Heliopolis</v>
      </c>
      <c r="C2418" s="2">
        <v>44389</v>
      </c>
      <c r="D2418" s="3">
        <v>936</v>
      </c>
    </row>
    <row r="2419" spans="1:4" ht="14.7" hidden="1" thickBot="1" x14ac:dyDescent="0.6">
      <c r="A2419" s="1" t="s">
        <v>27</v>
      </c>
      <c r="B2419" t="str">
        <f>VLOOKUP(A2419,'Area Breakdown'!$B$1:$C$33,2,)</f>
        <v xml:space="preserve">Alexandria </v>
      </c>
      <c r="C2419" s="2">
        <v>44389</v>
      </c>
      <c r="D2419" s="3">
        <v>906</v>
      </c>
    </row>
    <row r="2420" spans="1:4" ht="14.7" hidden="1" thickBot="1" x14ac:dyDescent="0.6">
      <c r="A2420" s="1" t="s">
        <v>24</v>
      </c>
      <c r="B2420" t="str">
        <f>VLOOKUP(A2420,'Area Breakdown'!$B$1:$C$33,2,)</f>
        <v>October</v>
      </c>
      <c r="C2420" s="2">
        <v>44389</v>
      </c>
      <c r="D2420" s="3">
        <v>890.40000000000009</v>
      </c>
    </row>
    <row r="2421" spans="1:4" ht="14.7" hidden="1" thickBot="1" x14ac:dyDescent="0.6">
      <c r="A2421" s="1" t="s">
        <v>9</v>
      </c>
      <c r="B2421" t="str">
        <f>VLOOKUP(A2421,'Area Breakdown'!$B$1:$C$33,2,)</f>
        <v xml:space="preserve">Alexandria </v>
      </c>
      <c r="C2421" s="2">
        <v>44389</v>
      </c>
      <c r="D2421" s="3">
        <v>802</v>
      </c>
    </row>
    <row r="2422" spans="1:4" ht="14.7" hidden="1" thickBot="1" x14ac:dyDescent="0.6">
      <c r="A2422" s="1" t="s">
        <v>22</v>
      </c>
      <c r="B2422" t="str">
        <f>VLOOKUP(A2422,'Area Breakdown'!$B$1:$C$33,2,)</f>
        <v>Heliopolis</v>
      </c>
      <c r="C2422" s="2">
        <v>44389</v>
      </c>
      <c r="D2422" s="3">
        <v>801.6</v>
      </c>
    </row>
    <row r="2423" spans="1:4" ht="14.7" hidden="1" thickBot="1" x14ac:dyDescent="0.6">
      <c r="A2423" s="1" t="s">
        <v>10</v>
      </c>
      <c r="B2423" t="str">
        <f>VLOOKUP(A2423,'Area Breakdown'!$B$1:$C$33,2,)</f>
        <v xml:space="preserve">Alexandria </v>
      </c>
      <c r="C2423" s="2">
        <v>44389</v>
      </c>
      <c r="D2423" s="3">
        <v>781.2</v>
      </c>
    </row>
    <row r="2424" spans="1:4" ht="14.7" hidden="1" thickBot="1" x14ac:dyDescent="0.6">
      <c r="A2424" s="1" t="s">
        <v>8</v>
      </c>
      <c r="B2424" t="str">
        <f>VLOOKUP(A2424,'Area Breakdown'!$B$1:$C$33,2,)</f>
        <v>Heliopolis</v>
      </c>
      <c r="C2424" s="2">
        <v>44389</v>
      </c>
      <c r="D2424" s="3">
        <v>664.80000000000007</v>
      </c>
    </row>
    <row r="2425" spans="1:4" ht="14.7" hidden="1" thickBot="1" x14ac:dyDescent="0.6">
      <c r="A2425" s="1" t="s">
        <v>15</v>
      </c>
      <c r="B2425" t="str">
        <f>VLOOKUP(A2425,'Area Breakdown'!$B$1:$C$33,2,)</f>
        <v>Heliopolis</v>
      </c>
      <c r="C2425" s="2">
        <v>44389</v>
      </c>
      <c r="D2425" s="3">
        <v>656.80000000000007</v>
      </c>
    </row>
    <row r="2426" spans="1:4" ht="14.7" hidden="1" thickBot="1" x14ac:dyDescent="0.6">
      <c r="A2426" s="1" t="s">
        <v>17</v>
      </c>
      <c r="B2426" t="str">
        <f>VLOOKUP(A2426,'Area Breakdown'!$B$1:$C$33,2,)</f>
        <v>Heliopolis</v>
      </c>
      <c r="C2426" s="2">
        <v>44389</v>
      </c>
      <c r="D2426" s="3">
        <v>650.40000000000009</v>
      </c>
    </row>
    <row r="2427" spans="1:4" ht="14.7" hidden="1" thickBot="1" x14ac:dyDescent="0.6">
      <c r="A2427" s="1" t="s">
        <v>30</v>
      </c>
      <c r="B2427" t="str">
        <f>VLOOKUP(A2427,'Area Breakdown'!$B$1:$C$33,2,)</f>
        <v>October</v>
      </c>
      <c r="C2427" s="2">
        <v>44389</v>
      </c>
      <c r="D2427" s="3">
        <v>422.8</v>
      </c>
    </row>
    <row r="2428" spans="1:4" ht="14.7" hidden="1" thickBot="1" x14ac:dyDescent="0.6">
      <c r="A2428" s="1" t="s">
        <v>7</v>
      </c>
      <c r="B2428" t="str">
        <f>VLOOKUP(A2428,'Area Breakdown'!$B$1:$C$33,2,)</f>
        <v>October</v>
      </c>
      <c r="C2428" s="2">
        <v>44389</v>
      </c>
      <c r="D2428" s="3">
        <v>400.40000000000003</v>
      </c>
    </row>
    <row r="2429" spans="1:4" ht="14.7" hidden="1" thickBot="1" x14ac:dyDescent="0.6">
      <c r="A2429" s="1" t="s">
        <v>4</v>
      </c>
      <c r="B2429" t="str">
        <f>VLOOKUP(A2429,'Area Breakdown'!$B$1:$C$33,2,)</f>
        <v>Downtown</v>
      </c>
      <c r="C2429" s="2">
        <v>44389</v>
      </c>
      <c r="D2429" s="3">
        <v>370.8</v>
      </c>
    </row>
    <row r="2430" spans="1:4" ht="14.7" hidden="1" thickBot="1" x14ac:dyDescent="0.6">
      <c r="A2430" s="1" t="s">
        <v>23</v>
      </c>
      <c r="B2430" t="str">
        <f>VLOOKUP(A2430,'Area Breakdown'!$B$1:$C$33,2,)</f>
        <v>Heliopolis</v>
      </c>
      <c r="C2430" s="2">
        <v>44389</v>
      </c>
      <c r="D2430" s="3">
        <v>363.6</v>
      </c>
    </row>
    <row r="2431" spans="1:4" ht="14.7" hidden="1" thickBot="1" x14ac:dyDescent="0.6">
      <c r="A2431" s="1" t="s">
        <v>6</v>
      </c>
      <c r="B2431" t="str">
        <f>VLOOKUP(A2431,'Area Breakdown'!$B$1:$C$33,2,)</f>
        <v xml:space="preserve">Alexandria </v>
      </c>
      <c r="C2431" s="2">
        <v>44389</v>
      </c>
      <c r="D2431" s="3">
        <v>336</v>
      </c>
    </row>
    <row r="2432" spans="1:4" ht="14.7" hidden="1" thickBot="1" x14ac:dyDescent="0.6">
      <c r="A2432" s="1" t="s">
        <v>1</v>
      </c>
      <c r="B2432" t="str">
        <f>VLOOKUP(A2432,'Area Breakdown'!$B$1:$C$33,2,)</f>
        <v>Downtown</v>
      </c>
      <c r="C2432" s="2">
        <v>44389</v>
      </c>
      <c r="D2432" s="3">
        <v>1300.8000000000002</v>
      </c>
    </row>
    <row r="2433" spans="1:4" ht="14.7" hidden="1" thickBot="1" x14ac:dyDescent="0.6">
      <c r="A2433" s="1" t="s">
        <v>21</v>
      </c>
      <c r="B2433" t="str">
        <f>VLOOKUP(A2433,'Area Breakdown'!$B$1:$C$33,2,)</f>
        <v>Heliopolis</v>
      </c>
      <c r="C2433" s="2">
        <v>44389</v>
      </c>
      <c r="D2433" s="3">
        <v>1662.8000000000002</v>
      </c>
    </row>
    <row r="2434" spans="1:4" ht="14.7" hidden="1" thickBot="1" x14ac:dyDescent="0.6">
      <c r="A2434" s="1" t="s">
        <v>12</v>
      </c>
      <c r="B2434" t="str">
        <f>VLOOKUP(A2434,'Area Breakdown'!$B$1:$C$33,2,)</f>
        <v>New Cairo</v>
      </c>
      <c r="C2434" s="2">
        <v>44389</v>
      </c>
      <c r="D2434" s="3">
        <v>1632.8000000000002</v>
      </c>
    </row>
    <row r="2435" spans="1:4" ht="14.7" hidden="1" thickBot="1" x14ac:dyDescent="0.6">
      <c r="A2435" s="1" t="s">
        <v>0</v>
      </c>
      <c r="B2435" t="str">
        <f>VLOOKUP(A2435,'Area Breakdown'!$B$1:$C$33,2,)</f>
        <v>Downtown</v>
      </c>
      <c r="C2435" s="2">
        <v>44390</v>
      </c>
      <c r="D2435" s="3">
        <v>1605.2</v>
      </c>
    </row>
    <row r="2436" spans="1:4" ht="14.7" hidden="1" thickBot="1" x14ac:dyDescent="0.6">
      <c r="A2436" s="1" t="s">
        <v>1</v>
      </c>
      <c r="B2436" t="str">
        <f>VLOOKUP(A2436,'Area Breakdown'!$B$1:$C$33,2,)</f>
        <v>Downtown</v>
      </c>
      <c r="C2436" s="2">
        <v>44390</v>
      </c>
      <c r="D2436" s="3">
        <v>1581.6000000000001</v>
      </c>
    </row>
    <row r="2437" spans="1:4" ht="14.7" hidden="1" thickBot="1" x14ac:dyDescent="0.6">
      <c r="A2437" s="1" t="s">
        <v>17</v>
      </c>
      <c r="B2437" t="str">
        <f>VLOOKUP(A2437,'Area Breakdown'!$B$1:$C$33,2,)</f>
        <v>Heliopolis</v>
      </c>
      <c r="C2437" s="2">
        <v>44390</v>
      </c>
      <c r="D2437" s="3">
        <v>1202.8</v>
      </c>
    </row>
    <row r="2438" spans="1:4" ht="14.7" hidden="1" thickBot="1" x14ac:dyDescent="0.6">
      <c r="A2438" s="1" t="s">
        <v>21</v>
      </c>
      <c r="B2438" t="str">
        <f>VLOOKUP(A2438,'Area Breakdown'!$B$1:$C$33,2,)</f>
        <v>Heliopolis</v>
      </c>
      <c r="C2438" s="2">
        <v>44390</v>
      </c>
      <c r="D2438" s="3">
        <v>1202</v>
      </c>
    </row>
    <row r="2439" spans="1:4" ht="14.7" hidden="1" thickBot="1" x14ac:dyDescent="0.6">
      <c r="A2439" s="1" t="s">
        <v>2</v>
      </c>
      <c r="B2439" t="str">
        <f>VLOOKUP(A2439,'Area Breakdown'!$B$1:$C$33,2,)</f>
        <v>Downtown</v>
      </c>
      <c r="C2439" s="2">
        <v>44390</v>
      </c>
      <c r="D2439" s="3">
        <v>1154</v>
      </c>
    </row>
    <row r="2440" spans="1:4" ht="14.7" hidden="1" thickBot="1" x14ac:dyDescent="0.6">
      <c r="A2440" s="1" t="s">
        <v>13</v>
      </c>
      <c r="B2440" t="str">
        <f>VLOOKUP(A2440,'Area Breakdown'!$B$1:$C$33,2,)</f>
        <v>Heliopolis</v>
      </c>
      <c r="C2440" s="2">
        <v>44390</v>
      </c>
      <c r="D2440" s="3">
        <v>1070.4000000000001</v>
      </c>
    </row>
    <row r="2441" spans="1:4" ht="14.7" hidden="1" thickBot="1" x14ac:dyDescent="0.6">
      <c r="A2441" s="1" t="s">
        <v>24</v>
      </c>
      <c r="B2441" t="str">
        <f>VLOOKUP(A2441,'Area Breakdown'!$B$1:$C$33,2,)</f>
        <v>October</v>
      </c>
      <c r="C2441" s="2">
        <v>44390</v>
      </c>
      <c r="D2441" s="3">
        <v>990</v>
      </c>
    </row>
    <row r="2442" spans="1:4" ht="14.7" hidden="1" thickBot="1" x14ac:dyDescent="0.6">
      <c r="A2442" s="1" t="s">
        <v>22</v>
      </c>
      <c r="B2442" t="str">
        <f>VLOOKUP(A2442,'Area Breakdown'!$B$1:$C$33,2,)</f>
        <v>Heliopolis</v>
      </c>
      <c r="C2442" s="2">
        <v>44390</v>
      </c>
      <c r="D2442" s="3">
        <v>989.6</v>
      </c>
    </row>
    <row r="2443" spans="1:4" ht="14.7" hidden="1" thickBot="1" x14ac:dyDescent="0.6">
      <c r="A2443" s="1" t="s">
        <v>16</v>
      </c>
      <c r="B2443" t="str">
        <f>VLOOKUP(A2443,'Area Breakdown'!$B$1:$C$33,2,)</f>
        <v>Downtown</v>
      </c>
      <c r="C2443" s="2">
        <v>44390</v>
      </c>
      <c r="D2443" s="3">
        <v>988.40000000000009</v>
      </c>
    </row>
    <row r="2444" spans="1:4" ht="14.7" hidden="1" thickBot="1" x14ac:dyDescent="0.6">
      <c r="A2444" s="1" t="s">
        <v>27</v>
      </c>
      <c r="B2444" t="str">
        <f>VLOOKUP(A2444,'Area Breakdown'!$B$1:$C$33,2,)</f>
        <v xml:space="preserve">Alexandria </v>
      </c>
      <c r="C2444" s="2">
        <v>44390</v>
      </c>
      <c r="D2444" s="3">
        <v>906</v>
      </c>
    </row>
    <row r="2445" spans="1:4" ht="14.7" hidden="1" thickBot="1" x14ac:dyDescent="0.6">
      <c r="A2445" s="1" t="s">
        <v>19</v>
      </c>
      <c r="B2445" t="str">
        <f>VLOOKUP(A2445,'Area Breakdown'!$B$1:$C$33,2,)</f>
        <v>Downtown</v>
      </c>
      <c r="C2445" s="2">
        <v>44390</v>
      </c>
      <c r="D2445" s="3">
        <v>898</v>
      </c>
    </row>
    <row r="2446" spans="1:4" ht="14.7" hidden="1" thickBot="1" x14ac:dyDescent="0.6">
      <c r="A2446" s="1" t="s">
        <v>15</v>
      </c>
      <c r="B2446" t="str">
        <f>VLOOKUP(A2446,'Area Breakdown'!$B$1:$C$33,2,)</f>
        <v>Heliopolis</v>
      </c>
      <c r="C2446" s="2">
        <v>44390</v>
      </c>
      <c r="D2446" s="3">
        <v>878</v>
      </c>
    </row>
    <row r="2447" spans="1:4" ht="14.7" hidden="1" thickBot="1" x14ac:dyDescent="0.6">
      <c r="A2447" s="1" t="s">
        <v>8</v>
      </c>
      <c r="B2447" t="str">
        <f>VLOOKUP(A2447,'Area Breakdown'!$B$1:$C$33,2,)</f>
        <v>Heliopolis</v>
      </c>
      <c r="C2447" s="2">
        <v>44390</v>
      </c>
      <c r="D2447" s="3">
        <v>865.6</v>
      </c>
    </row>
    <row r="2448" spans="1:4" ht="14.7" hidden="1" thickBot="1" x14ac:dyDescent="0.6">
      <c r="A2448" s="1" t="s">
        <v>3</v>
      </c>
      <c r="B2448" t="str">
        <f>VLOOKUP(A2448,'Area Breakdown'!$B$1:$C$33,2,)</f>
        <v>Downtown</v>
      </c>
      <c r="C2448" s="2">
        <v>44390</v>
      </c>
      <c r="D2448" s="3">
        <v>796</v>
      </c>
    </row>
    <row r="2449" spans="1:4" ht="14.7" hidden="1" thickBot="1" x14ac:dyDescent="0.6">
      <c r="A2449" s="1" t="s">
        <v>11</v>
      </c>
      <c r="B2449" t="str">
        <f>VLOOKUP(A2449,'Area Breakdown'!$B$1:$C$33,2,)</f>
        <v>New Cairo</v>
      </c>
      <c r="C2449" s="2">
        <v>44390</v>
      </c>
      <c r="D2449" s="3">
        <v>771.6</v>
      </c>
    </row>
    <row r="2450" spans="1:4" ht="14.7" hidden="1" thickBot="1" x14ac:dyDescent="0.6">
      <c r="A2450" s="1" t="s">
        <v>25</v>
      </c>
      <c r="B2450" t="str">
        <f>VLOOKUP(A2450,'Area Breakdown'!$B$1:$C$33,2,)</f>
        <v>October</v>
      </c>
      <c r="C2450" s="2">
        <v>44390</v>
      </c>
      <c r="D2450" s="3">
        <v>681.2</v>
      </c>
    </row>
    <row r="2451" spans="1:4" ht="14.7" hidden="1" thickBot="1" x14ac:dyDescent="0.6">
      <c r="A2451" s="1" t="s">
        <v>23</v>
      </c>
      <c r="B2451" t="str">
        <f>VLOOKUP(A2451,'Area Breakdown'!$B$1:$C$33,2,)</f>
        <v>Heliopolis</v>
      </c>
      <c r="C2451" s="2">
        <v>44390</v>
      </c>
      <c r="D2451" s="3">
        <v>624.40000000000009</v>
      </c>
    </row>
    <row r="2452" spans="1:4" ht="14.7" hidden="1" thickBot="1" x14ac:dyDescent="0.6">
      <c r="A2452" s="1" t="s">
        <v>30</v>
      </c>
      <c r="B2452" t="str">
        <f>VLOOKUP(A2452,'Area Breakdown'!$B$1:$C$33,2,)</f>
        <v>October</v>
      </c>
      <c r="C2452" s="2">
        <v>44390</v>
      </c>
      <c r="D2452" s="3">
        <v>499.20000000000005</v>
      </c>
    </row>
    <row r="2453" spans="1:4" ht="14.7" hidden="1" thickBot="1" x14ac:dyDescent="0.6">
      <c r="A2453" s="1" t="s">
        <v>6</v>
      </c>
      <c r="B2453" t="str">
        <f>VLOOKUP(A2453,'Area Breakdown'!$B$1:$C$33,2,)</f>
        <v xml:space="preserve">Alexandria </v>
      </c>
      <c r="C2453" s="2">
        <v>44390</v>
      </c>
      <c r="D2453" s="3">
        <v>486.8</v>
      </c>
    </row>
    <row r="2454" spans="1:4" ht="14.7" hidden="1" thickBot="1" x14ac:dyDescent="0.6">
      <c r="A2454" s="1" t="s">
        <v>10</v>
      </c>
      <c r="B2454" t="str">
        <f>VLOOKUP(A2454,'Area Breakdown'!$B$1:$C$33,2,)</f>
        <v xml:space="preserve">Alexandria </v>
      </c>
      <c r="C2454" s="2">
        <v>44390</v>
      </c>
      <c r="D2454" s="3">
        <v>470.8</v>
      </c>
    </row>
    <row r="2455" spans="1:4" ht="14.7" hidden="1" thickBot="1" x14ac:dyDescent="0.6">
      <c r="A2455" s="1" t="s">
        <v>9</v>
      </c>
      <c r="B2455" t="str">
        <f>VLOOKUP(A2455,'Area Breakdown'!$B$1:$C$33,2,)</f>
        <v xml:space="preserve">Alexandria </v>
      </c>
      <c r="C2455" s="2">
        <v>44390</v>
      </c>
      <c r="D2455" s="3">
        <v>442</v>
      </c>
    </row>
    <row r="2456" spans="1:4" ht="14.7" hidden="1" thickBot="1" x14ac:dyDescent="0.6">
      <c r="A2456" s="1" t="s">
        <v>7</v>
      </c>
      <c r="B2456" t="str">
        <f>VLOOKUP(A2456,'Area Breakdown'!$B$1:$C$33,2,)</f>
        <v>October</v>
      </c>
      <c r="C2456" s="2">
        <v>44390</v>
      </c>
      <c r="D2456" s="3">
        <v>441.20000000000005</v>
      </c>
    </row>
    <row r="2457" spans="1:4" ht="14.7" hidden="1" thickBot="1" x14ac:dyDescent="0.6">
      <c r="A2457" s="1" t="s">
        <v>4</v>
      </c>
      <c r="B2457" t="str">
        <f>VLOOKUP(A2457,'Area Breakdown'!$B$1:$C$33,2,)</f>
        <v>Downtown</v>
      </c>
      <c r="C2457" s="2">
        <v>44390</v>
      </c>
      <c r="D2457" s="3">
        <v>347.6</v>
      </c>
    </row>
    <row r="2458" spans="1:4" ht="14.7" hidden="1" thickBot="1" x14ac:dyDescent="0.6">
      <c r="A2458" s="1" t="s">
        <v>29</v>
      </c>
      <c r="B2458" t="str">
        <f>VLOOKUP(A2458,'Area Breakdown'!$B$1:$C$33,2,)</f>
        <v>Downtown</v>
      </c>
      <c r="C2458" s="2">
        <v>44390</v>
      </c>
      <c r="D2458" s="3">
        <v>336.8</v>
      </c>
    </row>
    <row r="2459" spans="1:4" ht="14.7" hidden="1" thickBot="1" x14ac:dyDescent="0.6">
      <c r="A2459" s="1" t="s">
        <v>20</v>
      </c>
      <c r="B2459" t="str">
        <f>VLOOKUP(A2459,'Area Breakdown'!$B$1:$C$33,2,)</f>
        <v>Downtown</v>
      </c>
      <c r="C2459" s="2">
        <v>44390</v>
      </c>
      <c r="D2459" s="3">
        <v>1836.8000000000002</v>
      </c>
    </row>
    <row r="2460" spans="1:4" ht="14.7" hidden="1" thickBot="1" x14ac:dyDescent="0.6">
      <c r="A2460" s="1" t="s">
        <v>12</v>
      </c>
      <c r="B2460" t="str">
        <f>VLOOKUP(A2460,'Area Breakdown'!$B$1:$C$33,2,)</f>
        <v>New Cairo</v>
      </c>
      <c r="C2460" s="2">
        <v>44390</v>
      </c>
      <c r="D2460" s="3">
        <v>1762</v>
      </c>
    </row>
    <row r="2461" spans="1:4" ht="14.7" hidden="1" thickBot="1" x14ac:dyDescent="0.6">
      <c r="A2461" s="1" t="s">
        <v>20</v>
      </c>
      <c r="B2461" t="str">
        <f>VLOOKUP(A2461,'Area Breakdown'!$B$1:$C$33,2,)</f>
        <v>Downtown</v>
      </c>
      <c r="C2461" s="2">
        <v>44391</v>
      </c>
      <c r="D2461" s="3">
        <v>1539.2</v>
      </c>
    </row>
    <row r="2462" spans="1:4" ht="14.7" hidden="1" thickBot="1" x14ac:dyDescent="0.6">
      <c r="A2462" s="1" t="s">
        <v>19</v>
      </c>
      <c r="B2462" t="str">
        <f>VLOOKUP(A2462,'Area Breakdown'!$B$1:$C$33,2,)</f>
        <v>Downtown</v>
      </c>
      <c r="C2462" s="2">
        <v>44391</v>
      </c>
      <c r="D2462" s="3">
        <v>1435.6000000000001</v>
      </c>
    </row>
    <row r="2463" spans="1:4" ht="14.7" hidden="1" thickBot="1" x14ac:dyDescent="0.6">
      <c r="A2463" s="1" t="s">
        <v>0</v>
      </c>
      <c r="B2463" t="str">
        <f>VLOOKUP(A2463,'Area Breakdown'!$B$1:$C$33,2,)</f>
        <v>Downtown</v>
      </c>
      <c r="C2463" s="2">
        <v>44391</v>
      </c>
      <c r="D2463" s="3">
        <v>1380.8000000000002</v>
      </c>
    </row>
    <row r="2464" spans="1:4" ht="14.7" hidden="1" thickBot="1" x14ac:dyDescent="0.6">
      <c r="A2464" s="1" t="s">
        <v>21</v>
      </c>
      <c r="B2464" t="str">
        <f>VLOOKUP(A2464,'Area Breakdown'!$B$1:$C$33,2,)</f>
        <v>Heliopolis</v>
      </c>
      <c r="C2464" s="2">
        <v>44391</v>
      </c>
      <c r="D2464" s="3">
        <v>1267.6000000000001</v>
      </c>
    </row>
    <row r="2465" spans="1:4" ht="14.7" hidden="1" thickBot="1" x14ac:dyDescent="0.6">
      <c r="A2465" s="1" t="s">
        <v>8</v>
      </c>
      <c r="B2465" t="str">
        <f>VLOOKUP(A2465,'Area Breakdown'!$B$1:$C$33,2,)</f>
        <v>Heliopolis</v>
      </c>
      <c r="C2465" s="2">
        <v>44391</v>
      </c>
      <c r="D2465" s="3">
        <v>1126.4000000000001</v>
      </c>
    </row>
    <row r="2466" spans="1:4" ht="14.7" hidden="1" thickBot="1" x14ac:dyDescent="0.6">
      <c r="A2466" s="1" t="s">
        <v>24</v>
      </c>
      <c r="B2466" t="str">
        <f>VLOOKUP(A2466,'Area Breakdown'!$B$1:$C$33,2,)</f>
        <v>October</v>
      </c>
      <c r="C2466" s="2">
        <v>44391</v>
      </c>
      <c r="D2466" s="3">
        <v>965.2</v>
      </c>
    </row>
    <row r="2467" spans="1:4" ht="14.7" hidden="1" thickBot="1" x14ac:dyDescent="0.6">
      <c r="A2467" s="1" t="s">
        <v>16</v>
      </c>
      <c r="B2467" t="str">
        <f>VLOOKUP(A2467,'Area Breakdown'!$B$1:$C$33,2,)</f>
        <v>Downtown</v>
      </c>
      <c r="C2467" s="2">
        <v>44391</v>
      </c>
      <c r="D2467" s="3">
        <v>900</v>
      </c>
    </row>
    <row r="2468" spans="1:4" ht="14.7" hidden="1" thickBot="1" x14ac:dyDescent="0.6">
      <c r="A2468" s="1" t="s">
        <v>2</v>
      </c>
      <c r="B2468" t="str">
        <f>VLOOKUP(A2468,'Area Breakdown'!$B$1:$C$33,2,)</f>
        <v>Downtown</v>
      </c>
      <c r="C2468" s="2">
        <v>44391</v>
      </c>
      <c r="D2468" s="3">
        <v>884.40000000000009</v>
      </c>
    </row>
    <row r="2469" spans="1:4" ht="14.7" hidden="1" thickBot="1" x14ac:dyDescent="0.6">
      <c r="A2469" s="1" t="s">
        <v>25</v>
      </c>
      <c r="B2469" t="str">
        <f>VLOOKUP(A2469,'Area Breakdown'!$B$1:$C$33,2,)</f>
        <v>October</v>
      </c>
      <c r="C2469" s="2">
        <v>44391</v>
      </c>
      <c r="D2469" s="3">
        <v>848.40000000000009</v>
      </c>
    </row>
    <row r="2470" spans="1:4" ht="14.7" hidden="1" thickBot="1" x14ac:dyDescent="0.6">
      <c r="A2470" s="1" t="s">
        <v>15</v>
      </c>
      <c r="B2470" t="str">
        <f>VLOOKUP(A2470,'Area Breakdown'!$B$1:$C$33,2,)</f>
        <v>Heliopolis</v>
      </c>
      <c r="C2470" s="2">
        <v>44391</v>
      </c>
      <c r="D2470" s="3">
        <v>818.80000000000007</v>
      </c>
    </row>
    <row r="2471" spans="1:4" ht="14.7" hidden="1" thickBot="1" x14ac:dyDescent="0.6">
      <c r="A2471" s="1" t="s">
        <v>27</v>
      </c>
      <c r="B2471" t="str">
        <f>VLOOKUP(A2471,'Area Breakdown'!$B$1:$C$33,2,)</f>
        <v xml:space="preserve">Alexandria </v>
      </c>
      <c r="C2471" s="2">
        <v>44391</v>
      </c>
      <c r="D2471" s="3">
        <v>768.40000000000009</v>
      </c>
    </row>
    <row r="2472" spans="1:4" ht="14.7" hidden="1" thickBot="1" x14ac:dyDescent="0.6">
      <c r="A2472" s="1" t="s">
        <v>3</v>
      </c>
      <c r="B2472" t="str">
        <f>VLOOKUP(A2472,'Area Breakdown'!$B$1:$C$33,2,)</f>
        <v>Downtown</v>
      </c>
      <c r="C2472" s="2">
        <v>44391</v>
      </c>
      <c r="D2472" s="3">
        <v>745.2</v>
      </c>
    </row>
    <row r="2473" spans="1:4" ht="14.7" hidden="1" thickBot="1" x14ac:dyDescent="0.6">
      <c r="A2473" s="1" t="s">
        <v>13</v>
      </c>
      <c r="B2473" t="str">
        <f>VLOOKUP(A2473,'Area Breakdown'!$B$1:$C$33,2,)</f>
        <v>Heliopolis</v>
      </c>
      <c r="C2473" s="2">
        <v>44391</v>
      </c>
      <c r="D2473" s="3">
        <v>670.40000000000009</v>
      </c>
    </row>
    <row r="2474" spans="1:4" ht="14.7" hidden="1" thickBot="1" x14ac:dyDescent="0.6">
      <c r="A2474" s="1" t="s">
        <v>22</v>
      </c>
      <c r="B2474" t="str">
        <f>VLOOKUP(A2474,'Area Breakdown'!$B$1:$C$33,2,)</f>
        <v>Heliopolis</v>
      </c>
      <c r="C2474" s="2">
        <v>44391</v>
      </c>
      <c r="D2474" s="3">
        <v>661.6</v>
      </c>
    </row>
    <row r="2475" spans="1:4" ht="14.7" hidden="1" thickBot="1" x14ac:dyDescent="0.6">
      <c r="A2475" s="1" t="s">
        <v>11</v>
      </c>
      <c r="B2475" t="str">
        <f>VLOOKUP(A2475,'Area Breakdown'!$B$1:$C$33,2,)</f>
        <v>New Cairo</v>
      </c>
      <c r="C2475" s="2">
        <v>44391</v>
      </c>
      <c r="D2475" s="3">
        <v>654.80000000000007</v>
      </c>
    </row>
    <row r="2476" spans="1:4" ht="14.7" hidden="1" thickBot="1" x14ac:dyDescent="0.6">
      <c r="A2476" s="1" t="s">
        <v>10</v>
      </c>
      <c r="B2476" t="str">
        <f>VLOOKUP(A2476,'Area Breakdown'!$B$1:$C$33,2,)</f>
        <v xml:space="preserve">Alexandria </v>
      </c>
      <c r="C2476" s="2">
        <v>44391</v>
      </c>
      <c r="D2476" s="3">
        <v>604.4</v>
      </c>
    </row>
    <row r="2477" spans="1:4" ht="14.7" hidden="1" thickBot="1" x14ac:dyDescent="0.6">
      <c r="A2477" s="1" t="s">
        <v>9</v>
      </c>
      <c r="B2477" t="str">
        <f>VLOOKUP(A2477,'Area Breakdown'!$B$1:$C$33,2,)</f>
        <v xml:space="preserve">Alexandria </v>
      </c>
      <c r="C2477" s="2">
        <v>44391</v>
      </c>
      <c r="D2477" s="3">
        <v>540</v>
      </c>
    </row>
    <row r="2478" spans="1:4" ht="14.7" hidden="1" thickBot="1" x14ac:dyDescent="0.6">
      <c r="A2478" s="1" t="s">
        <v>17</v>
      </c>
      <c r="B2478" t="str">
        <f>VLOOKUP(A2478,'Area Breakdown'!$B$1:$C$33,2,)</f>
        <v>Heliopolis</v>
      </c>
      <c r="C2478" s="2">
        <v>44391</v>
      </c>
      <c r="D2478" s="3">
        <v>539.20000000000005</v>
      </c>
    </row>
    <row r="2479" spans="1:4" ht="14.7" hidden="1" thickBot="1" x14ac:dyDescent="0.6">
      <c r="A2479" s="1" t="s">
        <v>4</v>
      </c>
      <c r="B2479" t="str">
        <f>VLOOKUP(A2479,'Area Breakdown'!$B$1:$C$33,2,)</f>
        <v>Downtown</v>
      </c>
      <c r="C2479" s="2">
        <v>44391</v>
      </c>
      <c r="D2479" s="3">
        <v>490.40000000000003</v>
      </c>
    </row>
    <row r="2480" spans="1:4" ht="14.7" hidden="1" thickBot="1" x14ac:dyDescent="0.6">
      <c r="A2480" s="1" t="s">
        <v>30</v>
      </c>
      <c r="B2480" t="str">
        <f>VLOOKUP(A2480,'Area Breakdown'!$B$1:$C$33,2,)</f>
        <v>October</v>
      </c>
      <c r="C2480" s="2">
        <v>44391</v>
      </c>
      <c r="D2480" s="3">
        <v>376.40000000000003</v>
      </c>
    </row>
    <row r="2481" spans="1:4" ht="14.7" hidden="1" thickBot="1" x14ac:dyDescent="0.6">
      <c r="A2481" s="1" t="s">
        <v>29</v>
      </c>
      <c r="B2481" t="str">
        <f>VLOOKUP(A2481,'Area Breakdown'!$B$1:$C$33,2,)</f>
        <v>Downtown</v>
      </c>
      <c r="C2481" s="2">
        <v>44391</v>
      </c>
      <c r="D2481" s="3">
        <v>252.8</v>
      </c>
    </row>
    <row r="2482" spans="1:4" ht="14.7" hidden="1" thickBot="1" x14ac:dyDescent="0.6">
      <c r="A2482" s="1" t="s">
        <v>6</v>
      </c>
      <c r="B2482" t="str">
        <f>VLOOKUP(A2482,'Area Breakdown'!$B$1:$C$33,2,)</f>
        <v xml:space="preserve">Alexandria </v>
      </c>
      <c r="C2482" s="2">
        <v>44391</v>
      </c>
      <c r="D2482" s="3">
        <v>250</v>
      </c>
    </row>
    <row r="2483" spans="1:4" ht="14.7" hidden="1" thickBot="1" x14ac:dyDescent="0.6">
      <c r="A2483" s="1" t="s">
        <v>23</v>
      </c>
      <c r="B2483" t="str">
        <f>VLOOKUP(A2483,'Area Breakdown'!$B$1:$C$33,2,)</f>
        <v>Heliopolis</v>
      </c>
      <c r="C2483" s="2">
        <v>44391</v>
      </c>
      <c r="D2483" s="3">
        <v>233.20000000000002</v>
      </c>
    </row>
    <row r="2484" spans="1:4" ht="14.7" hidden="1" thickBot="1" x14ac:dyDescent="0.6">
      <c r="A2484" s="1" t="s">
        <v>7</v>
      </c>
      <c r="B2484" t="str">
        <f>VLOOKUP(A2484,'Area Breakdown'!$B$1:$C$33,2,)</f>
        <v>October</v>
      </c>
      <c r="C2484" s="2">
        <v>44391</v>
      </c>
      <c r="D2484" s="3">
        <v>44.400000000000006</v>
      </c>
    </row>
    <row r="2485" spans="1:4" ht="14.7" hidden="1" thickBot="1" x14ac:dyDescent="0.6">
      <c r="A2485" s="1" t="s">
        <v>1</v>
      </c>
      <c r="B2485" t="str">
        <f>VLOOKUP(A2485,'Area Breakdown'!$B$1:$C$33,2,)</f>
        <v>Downtown</v>
      </c>
      <c r="C2485" s="2">
        <v>44391</v>
      </c>
      <c r="D2485" s="3">
        <v>1340.4</v>
      </c>
    </row>
    <row r="2486" spans="1:4" ht="14.7" hidden="1" thickBot="1" x14ac:dyDescent="0.6">
      <c r="A2486" s="1" t="s">
        <v>12</v>
      </c>
      <c r="B2486" t="str">
        <f>VLOOKUP(A2486,'Area Breakdown'!$B$1:$C$33,2,)</f>
        <v>New Cairo</v>
      </c>
      <c r="C2486" s="2">
        <v>44391</v>
      </c>
      <c r="D2486" s="3">
        <v>1800.8000000000002</v>
      </c>
    </row>
    <row r="2487" spans="1:4" ht="14.7" hidden="1" thickBot="1" x14ac:dyDescent="0.6">
      <c r="A2487" s="1" t="s">
        <v>0</v>
      </c>
      <c r="B2487" t="str">
        <f>VLOOKUP(A2487,'Area Breakdown'!$B$1:$C$33,2,)</f>
        <v>Downtown</v>
      </c>
      <c r="C2487" s="2">
        <v>44392</v>
      </c>
      <c r="D2487" s="3">
        <v>1464.8000000000002</v>
      </c>
    </row>
    <row r="2488" spans="1:4" ht="14.7" hidden="1" thickBot="1" x14ac:dyDescent="0.6">
      <c r="A2488" s="1" t="s">
        <v>20</v>
      </c>
      <c r="B2488" t="str">
        <f>VLOOKUP(A2488,'Area Breakdown'!$B$1:$C$33,2,)</f>
        <v>Downtown</v>
      </c>
      <c r="C2488" s="2">
        <v>44392</v>
      </c>
      <c r="D2488" s="3">
        <v>1381.6000000000001</v>
      </c>
    </row>
    <row r="2489" spans="1:4" ht="14.7" hidden="1" thickBot="1" x14ac:dyDescent="0.6">
      <c r="A2489" s="1" t="s">
        <v>12</v>
      </c>
      <c r="B2489" t="str">
        <f>VLOOKUP(A2489,'Area Breakdown'!$B$1:$C$33,2,)</f>
        <v>New Cairo</v>
      </c>
      <c r="C2489" s="2">
        <v>44392</v>
      </c>
      <c r="D2489" s="3">
        <v>1373.6000000000001</v>
      </c>
    </row>
    <row r="2490" spans="1:4" ht="14.7" hidden="1" thickBot="1" x14ac:dyDescent="0.6">
      <c r="A2490" s="1" t="s">
        <v>19</v>
      </c>
      <c r="B2490" t="str">
        <f>VLOOKUP(A2490,'Area Breakdown'!$B$1:$C$33,2,)</f>
        <v>Downtown</v>
      </c>
      <c r="C2490" s="2">
        <v>44392</v>
      </c>
      <c r="D2490" s="3">
        <v>1362.8000000000002</v>
      </c>
    </row>
    <row r="2491" spans="1:4" ht="14.7" hidden="1" thickBot="1" x14ac:dyDescent="0.6">
      <c r="A2491" s="1" t="s">
        <v>21</v>
      </c>
      <c r="B2491" t="str">
        <f>VLOOKUP(A2491,'Area Breakdown'!$B$1:$C$33,2,)</f>
        <v>Heliopolis</v>
      </c>
      <c r="C2491" s="2">
        <v>44392</v>
      </c>
      <c r="D2491" s="3">
        <v>1174</v>
      </c>
    </row>
    <row r="2492" spans="1:4" ht="14.7" hidden="1" thickBot="1" x14ac:dyDescent="0.6">
      <c r="A2492" s="1" t="s">
        <v>22</v>
      </c>
      <c r="B2492" t="str">
        <f>VLOOKUP(A2492,'Area Breakdown'!$B$1:$C$33,2,)</f>
        <v>Heliopolis</v>
      </c>
      <c r="C2492" s="2">
        <v>44392</v>
      </c>
      <c r="D2492" s="3">
        <v>1069.2</v>
      </c>
    </row>
    <row r="2493" spans="1:4" ht="14.7" hidden="1" thickBot="1" x14ac:dyDescent="0.6">
      <c r="A2493" s="1" t="s">
        <v>27</v>
      </c>
      <c r="B2493" t="str">
        <f>VLOOKUP(A2493,'Area Breakdown'!$B$1:$C$33,2,)</f>
        <v xml:space="preserve">Alexandria </v>
      </c>
      <c r="C2493" s="2">
        <v>44392</v>
      </c>
      <c r="D2493" s="3">
        <v>1052.4000000000001</v>
      </c>
    </row>
    <row r="2494" spans="1:4" ht="14.7" hidden="1" thickBot="1" x14ac:dyDescent="0.6">
      <c r="A2494" s="1" t="s">
        <v>16</v>
      </c>
      <c r="B2494" t="str">
        <f>VLOOKUP(A2494,'Area Breakdown'!$B$1:$C$33,2,)</f>
        <v>Downtown</v>
      </c>
      <c r="C2494" s="2">
        <v>44392</v>
      </c>
      <c r="D2494" s="3">
        <v>1025.2</v>
      </c>
    </row>
    <row r="2495" spans="1:4" ht="14.7" hidden="1" thickBot="1" x14ac:dyDescent="0.6">
      <c r="A2495" s="1" t="s">
        <v>13</v>
      </c>
      <c r="B2495" t="str">
        <f>VLOOKUP(A2495,'Area Breakdown'!$B$1:$C$33,2,)</f>
        <v>Heliopolis</v>
      </c>
      <c r="C2495" s="2">
        <v>44392</v>
      </c>
      <c r="D2495" s="3">
        <v>954</v>
      </c>
    </row>
    <row r="2496" spans="1:4" ht="14.7" hidden="1" thickBot="1" x14ac:dyDescent="0.6">
      <c r="A2496" s="1" t="s">
        <v>2</v>
      </c>
      <c r="B2496" t="str">
        <f>VLOOKUP(A2496,'Area Breakdown'!$B$1:$C$33,2,)</f>
        <v>Downtown</v>
      </c>
      <c r="C2496" s="2">
        <v>44392</v>
      </c>
      <c r="D2496" s="3">
        <v>915.6</v>
      </c>
    </row>
    <row r="2497" spans="1:4" ht="14.7" hidden="1" thickBot="1" x14ac:dyDescent="0.6">
      <c r="A2497" s="1" t="s">
        <v>3</v>
      </c>
      <c r="B2497" t="str">
        <f>VLOOKUP(A2497,'Area Breakdown'!$B$1:$C$33,2,)</f>
        <v>Downtown</v>
      </c>
      <c r="C2497" s="2">
        <v>44392</v>
      </c>
      <c r="D2497" s="3">
        <v>913.2</v>
      </c>
    </row>
    <row r="2498" spans="1:4" ht="14.7" hidden="1" thickBot="1" x14ac:dyDescent="0.6">
      <c r="A2498" s="1" t="s">
        <v>9</v>
      </c>
      <c r="B2498" t="str">
        <f>VLOOKUP(A2498,'Area Breakdown'!$B$1:$C$33,2,)</f>
        <v xml:space="preserve">Alexandria </v>
      </c>
      <c r="C2498" s="2">
        <v>44392</v>
      </c>
      <c r="D2498" s="3">
        <v>863.6</v>
      </c>
    </row>
    <row r="2499" spans="1:4" ht="14.7" hidden="1" thickBot="1" x14ac:dyDescent="0.6">
      <c r="A2499" s="1" t="s">
        <v>8</v>
      </c>
      <c r="B2499" t="str">
        <f>VLOOKUP(A2499,'Area Breakdown'!$B$1:$C$33,2,)</f>
        <v>Heliopolis</v>
      </c>
      <c r="C2499" s="2">
        <v>44392</v>
      </c>
      <c r="D2499" s="3">
        <v>857.6</v>
      </c>
    </row>
    <row r="2500" spans="1:4" ht="14.7" hidden="1" thickBot="1" x14ac:dyDescent="0.6">
      <c r="A2500" s="1" t="s">
        <v>11</v>
      </c>
      <c r="B2500" t="str">
        <f>VLOOKUP(A2500,'Area Breakdown'!$B$1:$C$33,2,)</f>
        <v>New Cairo</v>
      </c>
      <c r="C2500" s="2">
        <v>44392</v>
      </c>
      <c r="D2500" s="3">
        <v>742.80000000000007</v>
      </c>
    </row>
    <row r="2501" spans="1:4" ht="14.7" hidden="1" thickBot="1" x14ac:dyDescent="0.6">
      <c r="A2501" s="1" t="s">
        <v>24</v>
      </c>
      <c r="B2501" t="str">
        <f>VLOOKUP(A2501,'Area Breakdown'!$B$1:$C$33,2,)</f>
        <v>October</v>
      </c>
      <c r="C2501" s="2">
        <v>44392</v>
      </c>
      <c r="D2501" s="3">
        <v>694</v>
      </c>
    </row>
    <row r="2502" spans="1:4" ht="14.7" hidden="1" thickBot="1" x14ac:dyDescent="0.6">
      <c r="A2502" s="1" t="s">
        <v>25</v>
      </c>
      <c r="B2502" t="str">
        <f>VLOOKUP(A2502,'Area Breakdown'!$B$1:$C$33,2,)</f>
        <v>October</v>
      </c>
      <c r="C2502" s="2">
        <v>44392</v>
      </c>
      <c r="D2502" s="3">
        <v>628</v>
      </c>
    </row>
    <row r="2503" spans="1:4" ht="14.7" hidden="1" thickBot="1" x14ac:dyDescent="0.6">
      <c r="A2503" s="1" t="s">
        <v>15</v>
      </c>
      <c r="B2503" t="str">
        <f>VLOOKUP(A2503,'Area Breakdown'!$B$1:$C$33,2,)</f>
        <v>Heliopolis</v>
      </c>
      <c r="C2503" s="2">
        <v>44392</v>
      </c>
      <c r="D2503" s="3">
        <v>548.80000000000007</v>
      </c>
    </row>
    <row r="2504" spans="1:4" ht="14.7" hidden="1" thickBot="1" x14ac:dyDescent="0.6">
      <c r="A2504" s="1" t="s">
        <v>17</v>
      </c>
      <c r="B2504" t="str">
        <f>VLOOKUP(A2504,'Area Breakdown'!$B$1:$C$33,2,)</f>
        <v>Heliopolis</v>
      </c>
      <c r="C2504" s="2">
        <v>44392</v>
      </c>
      <c r="D2504" s="3">
        <v>538.80000000000007</v>
      </c>
    </row>
    <row r="2505" spans="1:4" ht="14.7" hidden="1" thickBot="1" x14ac:dyDescent="0.6">
      <c r="A2505" s="1" t="s">
        <v>10</v>
      </c>
      <c r="B2505" t="str">
        <f>VLOOKUP(A2505,'Area Breakdown'!$B$1:$C$33,2,)</f>
        <v xml:space="preserve">Alexandria </v>
      </c>
      <c r="C2505" s="2">
        <v>44392</v>
      </c>
      <c r="D2505" s="3">
        <v>516.80000000000007</v>
      </c>
    </row>
    <row r="2506" spans="1:4" ht="14.7" hidden="1" thickBot="1" x14ac:dyDescent="0.6">
      <c r="A2506" s="1" t="s">
        <v>29</v>
      </c>
      <c r="B2506" t="str">
        <f>VLOOKUP(A2506,'Area Breakdown'!$B$1:$C$33,2,)</f>
        <v>Downtown</v>
      </c>
      <c r="C2506" s="2">
        <v>44392</v>
      </c>
      <c r="D2506" s="3">
        <v>429.20000000000005</v>
      </c>
    </row>
    <row r="2507" spans="1:4" ht="14.7" hidden="1" thickBot="1" x14ac:dyDescent="0.6">
      <c r="A2507" s="1" t="s">
        <v>4</v>
      </c>
      <c r="B2507" t="str">
        <f>VLOOKUP(A2507,'Area Breakdown'!$B$1:$C$33,2,)</f>
        <v>Downtown</v>
      </c>
      <c r="C2507" s="2">
        <v>44392</v>
      </c>
      <c r="D2507" s="3">
        <v>416.40000000000003</v>
      </c>
    </row>
    <row r="2508" spans="1:4" ht="14.7" hidden="1" thickBot="1" x14ac:dyDescent="0.6">
      <c r="A2508" s="1" t="s">
        <v>7</v>
      </c>
      <c r="B2508" t="str">
        <f>VLOOKUP(A2508,'Area Breakdown'!$B$1:$C$33,2,)</f>
        <v>October</v>
      </c>
      <c r="C2508" s="2">
        <v>44392</v>
      </c>
      <c r="D2508" s="3">
        <v>288.8</v>
      </c>
    </row>
    <row r="2509" spans="1:4" ht="14.7" hidden="1" thickBot="1" x14ac:dyDescent="0.6">
      <c r="A2509" s="1" t="s">
        <v>30</v>
      </c>
      <c r="B2509" t="str">
        <f>VLOOKUP(A2509,'Area Breakdown'!$B$1:$C$33,2,)</f>
        <v>October</v>
      </c>
      <c r="C2509" s="2">
        <v>44392</v>
      </c>
      <c r="D2509" s="3">
        <v>261.60000000000002</v>
      </c>
    </row>
    <row r="2510" spans="1:4" ht="14.7" hidden="1" thickBot="1" x14ac:dyDescent="0.6">
      <c r="A2510" s="1" t="s">
        <v>23</v>
      </c>
      <c r="B2510" t="str">
        <f>VLOOKUP(A2510,'Area Breakdown'!$B$1:$C$33,2,)</f>
        <v>Heliopolis</v>
      </c>
      <c r="C2510" s="2">
        <v>44392</v>
      </c>
      <c r="D2510" s="3">
        <v>184.4</v>
      </c>
    </row>
    <row r="2511" spans="1:4" ht="14.7" hidden="1" thickBot="1" x14ac:dyDescent="0.6">
      <c r="A2511" s="1" t="s">
        <v>6</v>
      </c>
      <c r="B2511" t="str">
        <f>VLOOKUP(A2511,'Area Breakdown'!$B$1:$C$33,2,)</f>
        <v xml:space="preserve">Alexandria </v>
      </c>
      <c r="C2511" s="2">
        <v>44392</v>
      </c>
      <c r="D2511" s="3">
        <v>112</v>
      </c>
    </row>
    <row r="2512" spans="1:4" ht="14.7" hidden="1" thickBot="1" x14ac:dyDescent="0.6">
      <c r="A2512" s="1" t="s">
        <v>1</v>
      </c>
      <c r="B2512" t="str">
        <f>VLOOKUP(A2512,'Area Breakdown'!$B$1:$C$33,2,)</f>
        <v>Downtown</v>
      </c>
      <c r="C2512" s="2">
        <v>44392</v>
      </c>
      <c r="D2512" s="3">
        <v>1289.2</v>
      </c>
    </row>
    <row r="2513" spans="1:4" ht="14.7" hidden="1" thickBot="1" x14ac:dyDescent="0.6">
      <c r="A2513" s="1" t="s">
        <v>21</v>
      </c>
      <c r="B2513" t="str">
        <f>VLOOKUP(A2513,'Area Breakdown'!$B$1:$C$33,2,)</f>
        <v>Heliopolis</v>
      </c>
      <c r="C2513" s="2">
        <v>44393</v>
      </c>
      <c r="D2513" s="3">
        <v>1588.4</v>
      </c>
    </row>
    <row r="2514" spans="1:4" ht="14.7" hidden="1" thickBot="1" x14ac:dyDescent="0.6">
      <c r="A2514" s="1" t="s">
        <v>19</v>
      </c>
      <c r="B2514" t="str">
        <f>VLOOKUP(A2514,'Area Breakdown'!$B$1:$C$33,2,)</f>
        <v>Downtown</v>
      </c>
      <c r="C2514" s="2">
        <v>44393</v>
      </c>
      <c r="D2514" s="3">
        <v>1263.2</v>
      </c>
    </row>
    <row r="2515" spans="1:4" ht="14.7" hidden="1" thickBot="1" x14ac:dyDescent="0.6">
      <c r="A2515" s="1" t="s">
        <v>25</v>
      </c>
      <c r="B2515" t="str">
        <f>VLOOKUP(A2515,'Area Breakdown'!$B$1:$C$33,2,)</f>
        <v>October</v>
      </c>
      <c r="C2515" s="2">
        <v>44393</v>
      </c>
      <c r="D2515" s="3">
        <v>1068.4000000000001</v>
      </c>
    </row>
    <row r="2516" spans="1:4" ht="14.7" hidden="1" thickBot="1" x14ac:dyDescent="0.6">
      <c r="A2516" s="1" t="s">
        <v>24</v>
      </c>
      <c r="B2516" t="str">
        <f>VLOOKUP(A2516,'Area Breakdown'!$B$1:$C$33,2,)</f>
        <v>October</v>
      </c>
      <c r="C2516" s="2">
        <v>44393</v>
      </c>
      <c r="D2516" s="3">
        <v>940</v>
      </c>
    </row>
    <row r="2517" spans="1:4" ht="14.7" hidden="1" thickBot="1" x14ac:dyDescent="0.6">
      <c r="A2517" s="1" t="s">
        <v>22</v>
      </c>
      <c r="B2517" t="str">
        <f>VLOOKUP(A2517,'Area Breakdown'!$B$1:$C$33,2,)</f>
        <v>Heliopolis</v>
      </c>
      <c r="C2517" s="2">
        <v>44393</v>
      </c>
      <c r="D2517" s="3">
        <v>916</v>
      </c>
    </row>
    <row r="2518" spans="1:4" ht="14.7" hidden="1" thickBot="1" x14ac:dyDescent="0.6">
      <c r="A2518" s="1" t="s">
        <v>12</v>
      </c>
      <c r="B2518" t="str">
        <f>VLOOKUP(A2518,'Area Breakdown'!$B$1:$C$33,2,)</f>
        <v>New Cairo</v>
      </c>
      <c r="C2518" s="2">
        <v>44393</v>
      </c>
      <c r="D2518" s="3">
        <v>892</v>
      </c>
    </row>
    <row r="2519" spans="1:4" ht="14.7" hidden="1" thickBot="1" x14ac:dyDescent="0.6">
      <c r="A2519" s="1" t="s">
        <v>20</v>
      </c>
      <c r="B2519" t="str">
        <f>VLOOKUP(A2519,'Area Breakdown'!$B$1:$C$33,2,)</f>
        <v>Downtown</v>
      </c>
      <c r="C2519" s="2">
        <v>44393</v>
      </c>
      <c r="D2519" s="3">
        <v>878.80000000000007</v>
      </c>
    </row>
    <row r="2520" spans="1:4" ht="14.7" hidden="1" thickBot="1" x14ac:dyDescent="0.6">
      <c r="A2520" s="1" t="s">
        <v>0</v>
      </c>
      <c r="B2520" t="str">
        <f>VLOOKUP(A2520,'Area Breakdown'!$B$1:$C$33,2,)</f>
        <v>Downtown</v>
      </c>
      <c r="C2520" s="2">
        <v>44393</v>
      </c>
      <c r="D2520" s="3">
        <v>878.40000000000009</v>
      </c>
    </row>
    <row r="2521" spans="1:4" ht="14.7" hidden="1" thickBot="1" x14ac:dyDescent="0.6">
      <c r="A2521" s="1" t="s">
        <v>13</v>
      </c>
      <c r="B2521" t="str">
        <f>VLOOKUP(A2521,'Area Breakdown'!$B$1:$C$33,2,)</f>
        <v>Heliopolis</v>
      </c>
      <c r="C2521" s="2">
        <v>44393</v>
      </c>
      <c r="D2521" s="3">
        <v>718.80000000000007</v>
      </c>
    </row>
    <row r="2522" spans="1:4" ht="14.7" hidden="1" thickBot="1" x14ac:dyDescent="0.6">
      <c r="A2522" s="1" t="s">
        <v>27</v>
      </c>
      <c r="B2522" t="str">
        <f>VLOOKUP(A2522,'Area Breakdown'!$B$1:$C$33,2,)</f>
        <v xml:space="preserve">Alexandria </v>
      </c>
      <c r="C2522" s="2">
        <v>44393</v>
      </c>
      <c r="D2522" s="3">
        <v>716.80000000000007</v>
      </c>
    </row>
    <row r="2523" spans="1:4" ht="14.7" hidden="1" thickBot="1" x14ac:dyDescent="0.6">
      <c r="A2523" s="1" t="s">
        <v>16</v>
      </c>
      <c r="B2523" t="str">
        <f>VLOOKUP(A2523,'Area Breakdown'!$B$1:$C$33,2,)</f>
        <v>Downtown</v>
      </c>
      <c r="C2523" s="2">
        <v>44393</v>
      </c>
      <c r="D2523" s="3">
        <v>578</v>
      </c>
    </row>
    <row r="2524" spans="1:4" ht="14.7" hidden="1" thickBot="1" x14ac:dyDescent="0.6">
      <c r="A2524" s="1" t="s">
        <v>11</v>
      </c>
      <c r="B2524" t="str">
        <f>VLOOKUP(A2524,'Area Breakdown'!$B$1:$C$33,2,)</f>
        <v>New Cairo</v>
      </c>
      <c r="C2524" s="2">
        <v>44393</v>
      </c>
      <c r="D2524" s="3">
        <v>559.6</v>
      </c>
    </row>
    <row r="2525" spans="1:4" ht="14.7" hidden="1" thickBot="1" x14ac:dyDescent="0.6">
      <c r="A2525" s="1" t="s">
        <v>17</v>
      </c>
      <c r="B2525" t="str">
        <f>VLOOKUP(A2525,'Area Breakdown'!$B$1:$C$33,2,)</f>
        <v>Heliopolis</v>
      </c>
      <c r="C2525" s="2">
        <v>44393</v>
      </c>
      <c r="D2525" s="3">
        <v>555.6</v>
      </c>
    </row>
    <row r="2526" spans="1:4" ht="14.7" hidden="1" thickBot="1" x14ac:dyDescent="0.6">
      <c r="A2526" s="1" t="s">
        <v>3</v>
      </c>
      <c r="B2526" t="str">
        <f>VLOOKUP(A2526,'Area Breakdown'!$B$1:$C$33,2,)</f>
        <v>Downtown</v>
      </c>
      <c r="C2526" s="2">
        <v>44393</v>
      </c>
      <c r="D2526" s="3">
        <v>514</v>
      </c>
    </row>
    <row r="2527" spans="1:4" ht="14.7" hidden="1" thickBot="1" x14ac:dyDescent="0.6">
      <c r="A2527" s="1" t="s">
        <v>1</v>
      </c>
      <c r="B2527" t="str">
        <f>VLOOKUP(A2527,'Area Breakdown'!$B$1:$C$33,2,)</f>
        <v>Downtown</v>
      </c>
      <c r="C2527" s="2">
        <v>44393</v>
      </c>
      <c r="D2527" s="3">
        <v>506</v>
      </c>
    </row>
    <row r="2528" spans="1:4" ht="14.7" hidden="1" thickBot="1" x14ac:dyDescent="0.6">
      <c r="A2528" s="1" t="s">
        <v>15</v>
      </c>
      <c r="B2528" t="str">
        <f>VLOOKUP(A2528,'Area Breakdown'!$B$1:$C$33,2,)</f>
        <v>Heliopolis</v>
      </c>
      <c r="C2528" s="2">
        <v>44393</v>
      </c>
      <c r="D2528" s="3">
        <v>499.6</v>
      </c>
    </row>
    <row r="2529" spans="1:4" ht="14.7" hidden="1" thickBot="1" x14ac:dyDescent="0.6">
      <c r="A2529" s="1" t="s">
        <v>10</v>
      </c>
      <c r="B2529" t="str">
        <f>VLOOKUP(A2529,'Area Breakdown'!$B$1:$C$33,2,)</f>
        <v xml:space="preserve">Alexandria </v>
      </c>
      <c r="C2529" s="2">
        <v>44393</v>
      </c>
      <c r="D2529" s="3">
        <v>481.6</v>
      </c>
    </row>
    <row r="2530" spans="1:4" ht="14.7" hidden="1" thickBot="1" x14ac:dyDescent="0.6">
      <c r="A2530" s="1" t="s">
        <v>6</v>
      </c>
      <c r="B2530" t="str">
        <f>VLOOKUP(A2530,'Area Breakdown'!$B$1:$C$33,2,)</f>
        <v xml:space="preserve">Alexandria </v>
      </c>
      <c r="C2530" s="2">
        <v>44393</v>
      </c>
      <c r="D2530" s="3">
        <v>455.6</v>
      </c>
    </row>
    <row r="2531" spans="1:4" ht="14.7" hidden="1" thickBot="1" x14ac:dyDescent="0.6">
      <c r="A2531" s="1" t="s">
        <v>9</v>
      </c>
      <c r="B2531" t="str">
        <f>VLOOKUP(A2531,'Area Breakdown'!$B$1:$C$33,2,)</f>
        <v xml:space="preserve">Alexandria </v>
      </c>
      <c r="C2531" s="2">
        <v>44393</v>
      </c>
      <c r="D2531" s="3">
        <v>417.20000000000005</v>
      </c>
    </row>
    <row r="2532" spans="1:4" ht="14.7" hidden="1" thickBot="1" x14ac:dyDescent="0.6">
      <c r="A2532" s="1" t="s">
        <v>2</v>
      </c>
      <c r="B2532" t="str">
        <f>VLOOKUP(A2532,'Area Breakdown'!$B$1:$C$33,2,)</f>
        <v>Downtown</v>
      </c>
      <c r="C2532" s="2">
        <v>44393</v>
      </c>
      <c r="D2532" s="3">
        <v>410.8</v>
      </c>
    </row>
    <row r="2533" spans="1:4" ht="14.7" hidden="1" thickBot="1" x14ac:dyDescent="0.6">
      <c r="A2533" s="1" t="s">
        <v>4</v>
      </c>
      <c r="B2533" t="str">
        <f>VLOOKUP(A2533,'Area Breakdown'!$B$1:$C$33,2,)</f>
        <v>Downtown</v>
      </c>
      <c r="C2533" s="2">
        <v>44393</v>
      </c>
      <c r="D2533" s="3">
        <v>332.8</v>
      </c>
    </row>
    <row r="2534" spans="1:4" ht="14.7" hidden="1" thickBot="1" x14ac:dyDescent="0.6">
      <c r="A2534" s="1" t="s">
        <v>30</v>
      </c>
      <c r="B2534" t="str">
        <f>VLOOKUP(A2534,'Area Breakdown'!$B$1:$C$33,2,)</f>
        <v>October</v>
      </c>
      <c r="C2534" s="2">
        <v>44393</v>
      </c>
      <c r="D2534" s="3">
        <v>299.60000000000002</v>
      </c>
    </row>
    <row r="2535" spans="1:4" ht="14.7" hidden="1" thickBot="1" x14ac:dyDescent="0.6">
      <c r="A2535" s="1" t="s">
        <v>23</v>
      </c>
      <c r="B2535" t="str">
        <f>VLOOKUP(A2535,'Area Breakdown'!$B$1:$C$33,2,)</f>
        <v>Heliopolis</v>
      </c>
      <c r="C2535" s="2">
        <v>44393</v>
      </c>
      <c r="D2535" s="3">
        <v>298</v>
      </c>
    </row>
    <row r="2536" spans="1:4" ht="14.7" hidden="1" thickBot="1" x14ac:dyDescent="0.6">
      <c r="A2536" s="1" t="s">
        <v>7</v>
      </c>
      <c r="B2536" t="str">
        <f>VLOOKUP(A2536,'Area Breakdown'!$B$1:$C$33,2,)</f>
        <v>October</v>
      </c>
      <c r="C2536" s="2">
        <v>44393</v>
      </c>
      <c r="D2536" s="3">
        <v>284.8</v>
      </c>
    </row>
    <row r="2537" spans="1:4" ht="14.7" hidden="1" thickBot="1" x14ac:dyDescent="0.6">
      <c r="A2537" s="1" t="s">
        <v>8</v>
      </c>
      <c r="B2537" t="str">
        <f>VLOOKUP(A2537,'Area Breakdown'!$B$1:$C$33,2,)</f>
        <v>Heliopolis</v>
      </c>
      <c r="C2537" s="2">
        <v>44393</v>
      </c>
      <c r="D2537" s="3">
        <v>238.4</v>
      </c>
    </row>
    <row r="2538" spans="1:4" ht="14.7" hidden="1" thickBot="1" x14ac:dyDescent="0.6">
      <c r="A2538" s="1" t="s">
        <v>29</v>
      </c>
      <c r="B2538" t="str">
        <f>VLOOKUP(A2538,'Area Breakdown'!$B$1:$C$33,2,)</f>
        <v>Downtown</v>
      </c>
      <c r="C2538" s="2">
        <v>44393</v>
      </c>
      <c r="D2538" s="3">
        <v>0</v>
      </c>
    </row>
    <row r="2539" spans="1:4" ht="14.7" hidden="1" thickBot="1" x14ac:dyDescent="0.6">
      <c r="A2539" s="1" t="s">
        <v>25</v>
      </c>
      <c r="B2539" t="str">
        <f>VLOOKUP(A2539,'Area Breakdown'!$B$1:$C$33,2,)</f>
        <v>October</v>
      </c>
      <c r="C2539" s="2">
        <v>44394</v>
      </c>
      <c r="D2539" s="3">
        <v>1386.4</v>
      </c>
    </row>
    <row r="2540" spans="1:4" ht="14.7" hidden="1" thickBot="1" x14ac:dyDescent="0.6">
      <c r="A2540" s="1" t="s">
        <v>20</v>
      </c>
      <c r="B2540" t="str">
        <f>VLOOKUP(A2540,'Area Breakdown'!$B$1:$C$33,2,)</f>
        <v>Downtown</v>
      </c>
      <c r="C2540" s="2">
        <v>44394</v>
      </c>
      <c r="D2540" s="3">
        <v>865.6</v>
      </c>
    </row>
    <row r="2541" spans="1:4" ht="14.7" hidden="1" thickBot="1" x14ac:dyDescent="0.6">
      <c r="A2541" s="1" t="s">
        <v>16</v>
      </c>
      <c r="B2541" t="str">
        <f>VLOOKUP(A2541,'Area Breakdown'!$B$1:$C$33,2,)</f>
        <v>Downtown</v>
      </c>
      <c r="C2541" s="2">
        <v>44394</v>
      </c>
      <c r="D2541" s="3">
        <v>791.2</v>
      </c>
    </row>
    <row r="2542" spans="1:4" ht="14.7" hidden="1" thickBot="1" x14ac:dyDescent="0.6">
      <c r="A2542" s="1" t="s">
        <v>27</v>
      </c>
      <c r="B2542" t="str">
        <f>VLOOKUP(A2542,'Area Breakdown'!$B$1:$C$33,2,)</f>
        <v xml:space="preserve">Alexandria </v>
      </c>
      <c r="C2542" s="2">
        <v>44394</v>
      </c>
      <c r="D2542" s="3">
        <v>789.6</v>
      </c>
    </row>
    <row r="2543" spans="1:4" ht="14.7" hidden="1" thickBot="1" x14ac:dyDescent="0.6">
      <c r="A2543" s="1" t="s">
        <v>0</v>
      </c>
      <c r="B2543" t="str">
        <f>VLOOKUP(A2543,'Area Breakdown'!$B$1:$C$33,2,)</f>
        <v>Downtown</v>
      </c>
      <c r="C2543" s="2">
        <v>44394</v>
      </c>
      <c r="D2543" s="3">
        <v>779.2</v>
      </c>
    </row>
    <row r="2544" spans="1:4" ht="14.7" hidden="1" thickBot="1" x14ac:dyDescent="0.6">
      <c r="A2544" s="1" t="s">
        <v>12</v>
      </c>
      <c r="B2544" t="str">
        <f>VLOOKUP(A2544,'Area Breakdown'!$B$1:$C$33,2,)</f>
        <v>New Cairo</v>
      </c>
      <c r="C2544" s="2">
        <v>44394</v>
      </c>
      <c r="D2544" s="3">
        <v>769.6</v>
      </c>
    </row>
    <row r="2545" spans="1:4" ht="14.7" hidden="1" thickBot="1" x14ac:dyDescent="0.6">
      <c r="A2545" s="1" t="s">
        <v>2</v>
      </c>
      <c r="B2545" t="str">
        <f>VLOOKUP(A2545,'Area Breakdown'!$B$1:$C$33,2,)</f>
        <v>Downtown</v>
      </c>
      <c r="C2545" s="2">
        <v>44394</v>
      </c>
      <c r="D2545" s="3">
        <v>704.40000000000009</v>
      </c>
    </row>
    <row r="2546" spans="1:4" ht="14.7" hidden="1" thickBot="1" x14ac:dyDescent="0.6">
      <c r="A2546" s="1" t="s">
        <v>1</v>
      </c>
      <c r="B2546" t="str">
        <f>VLOOKUP(A2546,'Area Breakdown'!$B$1:$C$33,2,)</f>
        <v>Downtown</v>
      </c>
      <c r="C2546" s="2">
        <v>44394</v>
      </c>
      <c r="D2546" s="3">
        <v>688.80000000000007</v>
      </c>
    </row>
    <row r="2547" spans="1:4" ht="14.7" hidden="1" thickBot="1" x14ac:dyDescent="0.6">
      <c r="A2547" s="1" t="s">
        <v>10</v>
      </c>
      <c r="B2547" t="str">
        <f>VLOOKUP(A2547,'Area Breakdown'!$B$1:$C$33,2,)</f>
        <v xml:space="preserve">Alexandria </v>
      </c>
      <c r="C2547" s="2">
        <v>44394</v>
      </c>
      <c r="D2547" s="3">
        <v>571.20000000000005</v>
      </c>
    </row>
    <row r="2548" spans="1:4" ht="14.7" hidden="1" thickBot="1" x14ac:dyDescent="0.6">
      <c r="A2548" s="1" t="s">
        <v>22</v>
      </c>
      <c r="B2548" t="str">
        <f>VLOOKUP(A2548,'Area Breakdown'!$B$1:$C$33,2,)</f>
        <v>Heliopolis</v>
      </c>
      <c r="C2548" s="2">
        <v>44394</v>
      </c>
      <c r="D2548" s="3">
        <v>496.40000000000003</v>
      </c>
    </row>
    <row r="2549" spans="1:4" ht="14.7" hidden="1" thickBot="1" x14ac:dyDescent="0.6">
      <c r="A2549" s="1" t="s">
        <v>13</v>
      </c>
      <c r="B2549" t="str">
        <f>VLOOKUP(A2549,'Area Breakdown'!$B$1:$C$33,2,)</f>
        <v>Heliopolis</v>
      </c>
      <c r="C2549" s="2">
        <v>44394</v>
      </c>
      <c r="D2549" s="3">
        <v>495.6</v>
      </c>
    </row>
    <row r="2550" spans="1:4" ht="14.7" hidden="1" thickBot="1" x14ac:dyDescent="0.6">
      <c r="A2550" s="1" t="s">
        <v>19</v>
      </c>
      <c r="B2550" t="str">
        <f>VLOOKUP(A2550,'Area Breakdown'!$B$1:$C$33,2,)</f>
        <v>Downtown</v>
      </c>
      <c r="C2550" s="2">
        <v>44394</v>
      </c>
      <c r="D2550" s="3">
        <v>415.20000000000005</v>
      </c>
    </row>
    <row r="2551" spans="1:4" ht="14.7" hidden="1" thickBot="1" x14ac:dyDescent="0.6">
      <c r="A2551" s="1" t="s">
        <v>17</v>
      </c>
      <c r="B2551" t="str">
        <f>VLOOKUP(A2551,'Area Breakdown'!$B$1:$C$33,2,)</f>
        <v>Heliopolis</v>
      </c>
      <c r="C2551" s="2">
        <v>44394</v>
      </c>
      <c r="D2551" s="3">
        <v>402</v>
      </c>
    </row>
    <row r="2552" spans="1:4" ht="14.7" hidden="1" thickBot="1" x14ac:dyDescent="0.6">
      <c r="A2552" s="1" t="s">
        <v>11</v>
      </c>
      <c r="B2552" t="str">
        <f>VLOOKUP(A2552,'Area Breakdown'!$B$1:$C$33,2,)</f>
        <v>New Cairo</v>
      </c>
      <c r="C2552" s="2">
        <v>44394</v>
      </c>
      <c r="D2552" s="3">
        <v>400.8</v>
      </c>
    </row>
    <row r="2553" spans="1:4" ht="14.7" hidden="1" thickBot="1" x14ac:dyDescent="0.6">
      <c r="A2553" s="1" t="s">
        <v>23</v>
      </c>
      <c r="B2553" t="str">
        <f>VLOOKUP(A2553,'Area Breakdown'!$B$1:$C$33,2,)</f>
        <v>Heliopolis</v>
      </c>
      <c r="C2553" s="2">
        <v>44394</v>
      </c>
      <c r="D2553" s="3">
        <v>324</v>
      </c>
    </row>
    <row r="2554" spans="1:4" ht="14.7" hidden="1" thickBot="1" x14ac:dyDescent="0.6">
      <c r="A2554" s="1" t="s">
        <v>30</v>
      </c>
      <c r="B2554" t="str">
        <f>VLOOKUP(A2554,'Area Breakdown'!$B$1:$C$33,2,)</f>
        <v>October</v>
      </c>
      <c r="C2554" s="2">
        <v>44394</v>
      </c>
      <c r="D2554" s="3">
        <v>315.20000000000005</v>
      </c>
    </row>
    <row r="2555" spans="1:4" ht="14.7" hidden="1" thickBot="1" x14ac:dyDescent="0.6">
      <c r="A2555" s="1" t="s">
        <v>7</v>
      </c>
      <c r="B2555" t="str">
        <f>VLOOKUP(A2555,'Area Breakdown'!$B$1:$C$33,2,)</f>
        <v>October</v>
      </c>
      <c r="C2555" s="2">
        <v>44394</v>
      </c>
      <c r="D2555" s="3">
        <v>308</v>
      </c>
    </row>
    <row r="2556" spans="1:4" ht="14.7" hidden="1" thickBot="1" x14ac:dyDescent="0.6">
      <c r="A2556" s="1" t="s">
        <v>15</v>
      </c>
      <c r="B2556" t="str">
        <f>VLOOKUP(A2556,'Area Breakdown'!$B$1:$C$33,2,)</f>
        <v>Heliopolis</v>
      </c>
      <c r="C2556" s="2">
        <v>44394</v>
      </c>
      <c r="D2556" s="3">
        <v>278.40000000000003</v>
      </c>
    </row>
    <row r="2557" spans="1:4" ht="14.7" hidden="1" thickBot="1" x14ac:dyDescent="0.6">
      <c r="A2557" s="1" t="s">
        <v>4</v>
      </c>
      <c r="B2557" t="str">
        <f>VLOOKUP(A2557,'Area Breakdown'!$B$1:$C$33,2,)</f>
        <v>Downtown</v>
      </c>
      <c r="C2557" s="2">
        <v>44394</v>
      </c>
      <c r="D2557" s="3">
        <v>260.40000000000003</v>
      </c>
    </row>
    <row r="2558" spans="1:4" ht="14.7" hidden="1" thickBot="1" x14ac:dyDescent="0.6">
      <c r="A2558" s="1" t="s">
        <v>9</v>
      </c>
      <c r="B2558" t="str">
        <f>VLOOKUP(A2558,'Area Breakdown'!$B$1:$C$33,2,)</f>
        <v xml:space="preserve">Alexandria </v>
      </c>
      <c r="C2558" s="2">
        <v>44394</v>
      </c>
      <c r="D2558" s="3">
        <v>244</v>
      </c>
    </row>
    <row r="2559" spans="1:4" ht="14.7" hidden="1" thickBot="1" x14ac:dyDescent="0.6">
      <c r="A2559" s="1" t="s">
        <v>3</v>
      </c>
      <c r="B2559" t="str">
        <f>VLOOKUP(A2559,'Area Breakdown'!$B$1:$C$33,2,)</f>
        <v>Downtown</v>
      </c>
      <c r="C2559" s="2">
        <v>44394</v>
      </c>
      <c r="D2559" s="3">
        <v>232.4</v>
      </c>
    </row>
    <row r="2560" spans="1:4" ht="14.7" hidden="1" thickBot="1" x14ac:dyDescent="0.6">
      <c r="A2560" s="1" t="s">
        <v>6</v>
      </c>
      <c r="B2560" t="str">
        <f>VLOOKUP(A2560,'Area Breakdown'!$B$1:$C$33,2,)</f>
        <v xml:space="preserve">Alexandria </v>
      </c>
      <c r="C2560" s="2">
        <v>44394</v>
      </c>
      <c r="D2560" s="3">
        <v>219.20000000000002</v>
      </c>
    </row>
    <row r="2561" spans="1:4" ht="14.7" hidden="1" thickBot="1" x14ac:dyDescent="0.6">
      <c r="A2561" s="1" t="s">
        <v>8</v>
      </c>
      <c r="B2561" t="str">
        <f>VLOOKUP(A2561,'Area Breakdown'!$B$1:$C$33,2,)</f>
        <v>Heliopolis</v>
      </c>
      <c r="C2561" s="2">
        <v>44394</v>
      </c>
      <c r="D2561" s="3">
        <v>204.4</v>
      </c>
    </row>
    <row r="2562" spans="1:4" ht="14.7" hidden="1" thickBot="1" x14ac:dyDescent="0.6">
      <c r="A2562" s="1" t="s">
        <v>29</v>
      </c>
      <c r="B2562" t="str">
        <f>VLOOKUP(A2562,'Area Breakdown'!$B$1:$C$33,2,)</f>
        <v>Downtown</v>
      </c>
      <c r="C2562" s="2">
        <v>44394</v>
      </c>
      <c r="D2562" s="3">
        <v>0</v>
      </c>
    </row>
    <row r="2563" spans="1:4" ht="14.7" hidden="1" thickBot="1" x14ac:dyDescent="0.6">
      <c r="A2563" s="1" t="s">
        <v>21</v>
      </c>
      <c r="B2563" t="str">
        <f>VLOOKUP(A2563,'Area Breakdown'!$B$1:$C$33,2,)</f>
        <v>Heliopolis</v>
      </c>
      <c r="C2563" s="2">
        <v>44394</v>
      </c>
      <c r="D2563" s="3">
        <v>1296</v>
      </c>
    </row>
    <row r="2564" spans="1:4" ht="14.7" hidden="1" thickBot="1" x14ac:dyDescent="0.6">
      <c r="A2564" s="1" t="s">
        <v>24</v>
      </c>
      <c r="B2564" t="str">
        <f>VLOOKUP(A2564,'Area Breakdown'!$B$1:$C$33,2,)</f>
        <v>October</v>
      </c>
      <c r="C2564" s="2">
        <v>44394</v>
      </c>
      <c r="D2564" s="3">
        <v>1268.4000000000001</v>
      </c>
    </row>
    <row r="2565" spans="1:4" ht="14.7" hidden="1" thickBot="1" x14ac:dyDescent="0.6">
      <c r="A2565" s="1" t="s">
        <v>0</v>
      </c>
      <c r="B2565" t="str">
        <f>VLOOKUP(A2565,'Area Breakdown'!$B$1:$C$33,2,)</f>
        <v>Downtown</v>
      </c>
      <c r="C2565" s="2">
        <v>44395</v>
      </c>
      <c r="D2565" s="3">
        <v>1246</v>
      </c>
    </row>
    <row r="2566" spans="1:4" ht="14.7" hidden="1" thickBot="1" x14ac:dyDescent="0.6">
      <c r="A2566" s="1" t="s">
        <v>24</v>
      </c>
      <c r="B2566" t="str">
        <f>VLOOKUP(A2566,'Area Breakdown'!$B$1:$C$33,2,)</f>
        <v>October</v>
      </c>
      <c r="C2566" s="2">
        <v>44395</v>
      </c>
      <c r="D2566" s="3">
        <v>1070</v>
      </c>
    </row>
    <row r="2567" spans="1:4" ht="14.7" hidden="1" thickBot="1" x14ac:dyDescent="0.6">
      <c r="A2567" s="1" t="s">
        <v>20</v>
      </c>
      <c r="B2567" t="str">
        <f>VLOOKUP(A2567,'Area Breakdown'!$B$1:$C$33,2,)</f>
        <v>Downtown</v>
      </c>
      <c r="C2567" s="2">
        <v>44395</v>
      </c>
      <c r="D2567" s="3">
        <v>951.6</v>
      </c>
    </row>
    <row r="2568" spans="1:4" ht="14.7" hidden="1" thickBot="1" x14ac:dyDescent="0.6">
      <c r="A2568" s="1" t="s">
        <v>11</v>
      </c>
      <c r="B2568" t="str">
        <f>VLOOKUP(A2568,'Area Breakdown'!$B$1:$C$33,2,)</f>
        <v>New Cairo</v>
      </c>
      <c r="C2568" s="2">
        <v>44395</v>
      </c>
      <c r="D2568" s="3">
        <v>929.6</v>
      </c>
    </row>
    <row r="2569" spans="1:4" ht="14.7" hidden="1" thickBot="1" x14ac:dyDescent="0.6">
      <c r="A2569" s="1" t="s">
        <v>25</v>
      </c>
      <c r="B2569" t="str">
        <f>VLOOKUP(A2569,'Area Breakdown'!$B$1:$C$33,2,)</f>
        <v>October</v>
      </c>
      <c r="C2569" s="2">
        <v>44395</v>
      </c>
      <c r="D2569" s="3">
        <v>923.2</v>
      </c>
    </row>
    <row r="2570" spans="1:4" ht="14.7" hidden="1" thickBot="1" x14ac:dyDescent="0.6">
      <c r="A2570" s="1" t="s">
        <v>12</v>
      </c>
      <c r="B2570" t="str">
        <f>VLOOKUP(A2570,'Area Breakdown'!$B$1:$C$33,2,)</f>
        <v>New Cairo</v>
      </c>
      <c r="C2570" s="2">
        <v>44395</v>
      </c>
      <c r="D2570" s="3">
        <v>897.2</v>
      </c>
    </row>
    <row r="2571" spans="1:4" ht="14.7" hidden="1" thickBot="1" x14ac:dyDescent="0.6">
      <c r="A2571" s="1" t="s">
        <v>16</v>
      </c>
      <c r="B2571" t="str">
        <f>VLOOKUP(A2571,'Area Breakdown'!$B$1:$C$33,2,)</f>
        <v>Downtown</v>
      </c>
      <c r="C2571" s="2">
        <v>44395</v>
      </c>
      <c r="D2571" s="3">
        <v>866.40000000000009</v>
      </c>
    </row>
    <row r="2572" spans="1:4" ht="14.7" hidden="1" thickBot="1" x14ac:dyDescent="0.6">
      <c r="A2572" s="1" t="s">
        <v>27</v>
      </c>
      <c r="B2572" t="str">
        <f>VLOOKUP(A2572,'Area Breakdown'!$B$1:$C$33,2,)</f>
        <v xml:space="preserve">Alexandria </v>
      </c>
      <c r="C2572" s="2">
        <v>44395</v>
      </c>
      <c r="D2572" s="3">
        <v>856</v>
      </c>
    </row>
    <row r="2573" spans="1:4" ht="14.7" hidden="1" thickBot="1" x14ac:dyDescent="0.6">
      <c r="A2573" s="1" t="s">
        <v>21</v>
      </c>
      <c r="B2573" t="str">
        <f>VLOOKUP(A2573,'Area Breakdown'!$B$1:$C$33,2,)</f>
        <v>Heliopolis</v>
      </c>
      <c r="C2573" s="2">
        <v>44395</v>
      </c>
      <c r="D2573" s="3">
        <v>799.6</v>
      </c>
    </row>
    <row r="2574" spans="1:4" ht="14.7" hidden="1" thickBot="1" x14ac:dyDescent="0.6">
      <c r="A2574" s="1" t="s">
        <v>19</v>
      </c>
      <c r="B2574" t="str">
        <f>VLOOKUP(A2574,'Area Breakdown'!$B$1:$C$33,2,)</f>
        <v>Downtown</v>
      </c>
      <c r="C2574" s="2">
        <v>44395</v>
      </c>
      <c r="D2574" s="3">
        <v>754.80000000000007</v>
      </c>
    </row>
    <row r="2575" spans="1:4" ht="14.7" hidden="1" thickBot="1" x14ac:dyDescent="0.6">
      <c r="A2575" s="1" t="s">
        <v>1</v>
      </c>
      <c r="B2575" t="str">
        <f>VLOOKUP(A2575,'Area Breakdown'!$B$1:$C$33,2,)</f>
        <v>Downtown</v>
      </c>
      <c r="C2575" s="2">
        <v>44395</v>
      </c>
      <c r="D2575" s="3">
        <v>744.40000000000009</v>
      </c>
    </row>
    <row r="2576" spans="1:4" ht="14.7" hidden="1" thickBot="1" x14ac:dyDescent="0.6">
      <c r="A2576" s="1" t="s">
        <v>2</v>
      </c>
      <c r="B2576" t="str">
        <f>VLOOKUP(A2576,'Area Breakdown'!$B$1:$C$33,2,)</f>
        <v>Downtown</v>
      </c>
      <c r="C2576" s="2">
        <v>44395</v>
      </c>
      <c r="D2576" s="3">
        <v>697.2</v>
      </c>
    </row>
    <row r="2577" spans="1:4" ht="14.7" hidden="1" thickBot="1" x14ac:dyDescent="0.6">
      <c r="A2577" s="1" t="s">
        <v>22</v>
      </c>
      <c r="B2577" t="str">
        <f>VLOOKUP(A2577,'Area Breakdown'!$B$1:$C$33,2,)</f>
        <v>Heliopolis</v>
      </c>
      <c r="C2577" s="2">
        <v>44395</v>
      </c>
      <c r="D2577" s="3">
        <v>598.80000000000007</v>
      </c>
    </row>
    <row r="2578" spans="1:4" ht="14.7" hidden="1" thickBot="1" x14ac:dyDescent="0.6">
      <c r="A2578" s="1" t="s">
        <v>15</v>
      </c>
      <c r="B2578" t="str">
        <f>VLOOKUP(A2578,'Area Breakdown'!$B$1:$C$33,2,)</f>
        <v>Heliopolis</v>
      </c>
      <c r="C2578" s="2">
        <v>44395</v>
      </c>
      <c r="D2578" s="3">
        <v>566.4</v>
      </c>
    </row>
    <row r="2579" spans="1:4" ht="14.7" hidden="1" thickBot="1" x14ac:dyDescent="0.6">
      <c r="A2579" s="1" t="s">
        <v>30</v>
      </c>
      <c r="B2579" t="str">
        <f>VLOOKUP(A2579,'Area Breakdown'!$B$1:$C$33,2,)</f>
        <v>October</v>
      </c>
      <c r="C2579" s="2">
        <v>44395</v>
      </c>
      <c r="D2579" s="3">
        <v>522.80000000000007</v>
      </c>
    </row>
    <row r="2580" spans="1:4" ht="14.7" hidden="1" thickBot="1" x14ac:dyDescent="0.6">
      <c r="A2580" s="1" t="s">
        <v>9</v>
      </c>
      <c r="B2580" t="str">
        <f>VLOOKUP(A2580,'Area Breakdown'!$B$1:$C$33,2,)</f>
        <v xml:space="preserve">Alexandria </v>
      </c>
      <c r="C2580" s="2">
        <v>44395</v>
      </c>
      <c r="D2580" s="3">
        <v>514</v>
      </c>
    </row>
    <row r="2581" spans="1:4" ht="14.7" hidden="1" thickBot="1" x14ac:dyDescent="0.6">
      <c r="A2581" s="1" t="s">
        <v>17</v>
      </c>
      <c r="B2581" t="str">
        <f>VLOOKUP(A2581,'Area Breakdown'!$B$1:$C$33,2,)</f>
        <v>Heliopolis</v>
      </c>
      <c r="C2581" s="2">
        <v>44395</v>
      </c>
      <c r="D2581" s="3">
        <v>493.6</v>
      </c>
    </row>
    <row r="2582" spans="1:4" ht="14.7" hidden="1" thickBot="1" x14ac:dyDescent="0.6">
      <c r="A2582" s="1" t="s">
        <v>3</v>
      </c>
      <c r="B2582" t="str">
        <f>VLOOKUP(A2582,'Area Breakdown'!$B$1:$C$33,2,)</f>
        <v>Downtown</v>
      </c>
      <c r="C2582" s="2">
        <v>44395</v>
      </c>
      <c r="D2582" s="3">
        <v>485.20000000000005</v>
      </c>
    </row>
    <row r="2583" spans="1:4" ht="14.7" hidden="1" thickBot="1" x14ac:dyDescent="0.6">
      <c r="A2583" s="1" t="s">
        <v>13</v>
      </c>
      <c r="B2583" t="str">
        <f>VLOOKUP(A2583,'Area Breakdown'!$B$1:$C$33,2,)</f>
        <v>Heliopolis</v>
      </c>
      <c r="C2583" s="2">
        <v>44395</v>
      </c>
      <c r="D2583" s="3">
        <v>449.6</v>
      </c>
    </row>
    <row r="2584" spans="1:4" ht="14.7" hidden="1" thickBot="1" x14ac:dyDescent="0.6">
      <c r="A2584" s="1" t="s">
        <v>10</v>
      </c>
      <c r="B2584" t="str">
        <f>VLOOKUP(A2584,'Area Breakdown'!$B$1:$C$33,2,)</f>
        <v xml:space="preserve">Alexandria </v>
      </c>
      <c r="C2584" s="2">
        <v>44395</v>
      </c>
      <c r="D2584" s="3">
        <v>283.2</v>
      </c>
    </row>
    <row r="2585" spans="1:4" ht="14.7" hidden="1" thickBot="1" x14ac:dyDescent="0.6">
      <c r="A2585" s="1" t="s">
        <v>8</v>
      </c>
      <c r="B2585" t="str">
        <f>VLOOKUP(A2585,'Area Breakdown'!$B$1:$C$33,2,)</f>
        <v>Heliopolis</v>
      </c>
      <c r="C2585" s="2">
        <v>44395</v>
      </c>
      <c r="D2585" s="3">
        <v>228</v>
      </c>
    </row>
    <row r="2586" spans="1:4" ht="14.7" hidden="1" thickBot="1" x14ac:dyDescent="0.6">
      <c r="A2586" s="1" t="s">
        <v>23</v>
      </c>
      <c r="B2586" t="str">
        <f>VLOOKUP(A2586,'Area Breakdown'!$B$1:$C$33,2,)</f>
        <v>Heliopolis</v>
      </c>
      <c r="C2586" s="2">
        <v>44395</v>
      </c>
      <c r="D2586" s="3">
        <v>202</v>
      </c>
    </row>
    <row r="2587" spans="1:4" ht="14.7" hidden="1" thickBot="1" x14ac:dyDescent="0.6">
      <c r="A2587" s="1" t="s">
        <v>7</v>
      </c>
      <c r="B2587" t="str">
        <f>VLOOKUP(A2587,'Area Breakdown'!$B$1:$C$33,2,)</f>
        <v>October</v>
      </c>
      <c r="C2587" s="2">
        <v>44395</v>
      </c>
      <c r="D2587" s="3">
        <v>197.60000000000002</v>
      </c>
    </row>
    <row r="2588" spans="1:4" ht="14.7" hidden="1" thickBot="1" x14ac:dyDescent="0.6">
      <c r="A2588" s="1" t="s">
        <v>6</v>
      </c>
      <c r="B2588" t="str">
        <f>VLOOKUP(A2588,'Area Breakdown'!$B$1:$C$33,2,)</f>
        <v xml:space="preserve">Alexandria </v>
      </c>
      <c r="C2588" s="2">
        <v>44395</v>
      </c>
      <c r="D2588" s="3">
        <v>187.20000000000002</v>
      </c>
    </row>
    <row r="2589" spans="1:4" ht="14.7" hidden="1" thickBot="1" x14ac:dyDescent="0.6">
      <c r="A2589" s="1" t="s">
        <v>4</v>
      </c>
      <c r="B2589" t="str">
        <f>VLOOKUP(A2589,'Area Breakdown'!$B$1:$C$33,2,)</f>
        <v>Downtown</v>
      </c>
      <c r="C2589" s="2">
        <v>44395</v>
      </c>
      <c r="D2589" s="3">
        <v>129.20000000000002</v>
      </c>
    </row>
    <row r="2590" spans="1:4" ht="14.7" hidden="1" thickBot="1" x14ac:dyDescent="0.6">
      <c r="A2590" s="1" t="s">
        <v>29</v>
      </c>
      <c r="B2590" t="str">
        <f>VLOOKUP(A2590,'Area Breakdown'!$B$1:$C$33,2,)</f>
        <v>Downtown</v>
      </c>
      <c r="C2590" s="2">
        <v>44395</v>
      </c>
      <c r="D2590" s="3">
        <v>0</v>
      </c>
    </row>
    <row r="2591" spans="1:4" ht="14.7" hidden="1" thickBot="1" x14ac:dyDescent="0.6">
      <c r="A2591" s="1" t="s">
        <v>16</v>
      </c>
      <c r="B2591" t="str">
        <f>VLOOKUP(A2591,'Area Breakdown'!$B$1:$C$33,2,)</f>
        <v>Downtown</v>
      </c>
      <c r="C2591" s="2">
        <v>44396</v>
      </c>
      <c r="D2591" s="3">
        <v>1403.2</v>
      </c>
    </row>
    <row r="2592" spans="1:4" ht="14.7" hidden="1" thickBot="1" x14ac:dyDescent="0.6">
      <c r="A2592" s="1" t="s">
        <v>25</v>
      </c>
      <c r="B2592" t="str">
        <f>VLOOKUP(A2592,'Area Breakdown'!$B$1:$C$33,2,)</f>
        <v>October</v>
      </c>
      <c r="C2592" s="2">
        <v>44396</v>
      </c>
      <c r="D2592" s="3">
        <v>865.6</v>
      </c>
    </row>
    <row r="2593" spans="1:4" ht="14.7" hidden="1" thickBot="1" x14ac:dyDescent="0.6">
      <c r="A2593" s="1" t="s">
        <v>24</v>
      </c>
      <c r="B2593" t="str">
        <f>VLOOKUP(A2593,'Area Breakdown'!$B$1:$C$33,2,)</f>
        <v>October</v>
      </c>
      <c r="C2593" s="2">
        <v>44396</v>
      </c>
      <c r="D2593" s="3">
        <v>829.6</v>
      </c>
    </row>
    <row r="2594" spans="1:4" ht="14.7" hidden="1" thickBot="1" x14ac:dyDescent="0.6">
      <c r="A2594" s="1" t="s">
        <v>15</v>
      </c>
      <c r="B2594" t="str">
        <f>VLOOKUP(A2594,'Area Breakdown'!$B$1:$C$33,2,)</f>
        <v>Heliopolis</v>
      </c>
      <c r="C2594" s="2">
        <v>44396</v>
      </c>
      <c r="D2594" s="3">
        <v>823.2</v>
      </c>
    </row>
    <row r="2595" spans="1:4" ht="14.7" hidden="1" thickBot="1" x14ac:dyDescent="0.6">
      <c r="A2595" s="1" t="s">
        <v>27</v>
      </c>
      <c r="B2595" t="str">
        <f>VLOOKUP(A2595,'Area Breakdown'!$B$1:$C$33,2,)</f>
        <v xml:space="preserve">Alexandria </v>
      </c>
      <c r="C2595" s="2">
        <v>44396</v>
      </c>
      <c r="D2595" s="3">
        <v>724.40000000000009</v>
      </c>
    </row>
    <row r="2596" spans="1:4" ht="14.7" hidden="1" thickBot="1" x14ac:dyDescent="0.6">
      <c r="A2596" s="1" t="s">
        <v>22</v>
      </c>
      <c r="B2596" t="str">
        <f>VLOOKUP(A2596,'Area Breakdown'!$B$1:$C$33,2,)</f>
        <v>Heliopolis</v>
      </c>
      <c r="C2596" s="2">
        <v>44396</v>
      </c>
      <c r="D2596" s="3">
        <v>666</v>
      </c>
    </row>
    <row r="2597" spans="1:4" ht="14.7" hidden="1" thickBot="1" x14ac:dyDescent="0.6">
      <c r="A2597" s="1" t="s">
        <v>13</v>
      </c>
      <c r="B2597" t="str">
        <f>VLOOKUP(A2597,'Area Breakdown'!$B$1:$C$33,2,)</f>
        <v>Heliopolis</v>
      </c>
      <c r="C2597" s="2">
        <v>44396</v>
      </c>
      <c r="D2597" s="3">
        <v>552.4</v>
      </c>
    </row>
    <row r="2598" spans="1:4" ht="14.7" hidden="1" thickBot="1" x14ac:dyDescent="0.6">
      <c r="A2598" s="1" t="s">
        <v>19</v>
      </c>
      <c r="B2598" t="str">
        <f>VLOOKUP(A2598,'Area Breakdown'!$B$1:$C$33,2,)</f>
        <v>Downtown</v>
      </c>
      <c r="C2598" s="2">
        <v>44396</v>
      </c>
      <c r="D2598" s="3">
        <v>489.6</v>
      </c>
    </row>
    <row r="2599" spans="1:4" ht="14.7" hidden="1" thickBot="1" x14ac:dyDescent="0.6">
      <c r="A2599" s="1" t="s">
        <v>12</v>
      </c>
      <c r="B2599" t="str">
        <f>VLOOKUP(A2599,'Area Breakdown'!$B$1:$C$33,2,)</f>
        <v>New Cairo</v>
      </c>
      <c r="C2599" s="2">
        <v>44396</v>
      </c>
      <c r="D2599" s="3">
        <v>476.40000000000003</v>
      </c>
    </row>
    <row r="2600" spans="1:4" ht="14.7" hidden="1" thickBot="1" x14ac:dyDescent="0.6">
      <c r="A2600" s="1" t="s">
        <v>9</v>
      </c>
      <c r="B2600" t="str">
        <f>VLOOKUP(A2600,'Area Breakdown'!$B$1:$C$33,2,)</f>
        <v xml:space="preserve">Alexandria </v>
      </c>
      <c r="C2600" s="2">
        <v>44396</v>
      </c>
      <c r="D2600" s="3">
        <v>467.20000000000005</v>
      </c>
    </row>
    <row r="2601" spans="1:4" ht="14.7" hidden="1" thickBot="1" x14ac:dyDescent="0.6">
      <c r="A2601" s="1" t="s">
        <v>21</v>
      </c>
      <c r="B2601" t="str">
        <f>VLOOKUP(A2601,'Area Breakdown'!$B$1:$C$33,2,)</f>
        <v>Heliopolis</v>
      </c>
      <c r="C2601" s="2">
        <v>44396</v>
      </c>
      <c r="D2601" s="3">
        <v>465.20000000000005</v>
      </c>
    </row>
    <row r="2602" spans="1:4" ht="14.7" hidden="1" thickBot="1" x14ac:dyDescent="0.6">
      <c r="A2602" s="1" t="s">
        <v>30</v>
      </c>
      <c r="B2602" t="str">
        <f>VLOOKUP(A2602,'Area Breakdown'!$B$1:$C$33,2,)</f>
        <v>October</v>
      </c>
      <c r="C2602" s="2">
        <v>44396</v>
      </c>
      <c r="D2602" s="3">
        <v>426.40000000000003</v>
      </c>
    </row>
    <row r="2603" spans="1:4" ht="14.7" hidden="1" thickBot="1" x14ac:dyDescent="0.6">
      <c r="A2603" s="1" t="s">
        <v>20</v>
      </c>
      <c r="B2603" t="str">
        <f>VLOOKUP(A2603,'Area Breakdown'!$B$1:$C$33,2,)</f>
        <v>Downtown</v>
      </c>
      <c r="C2603" s="2">
        <v>44396</v>
      </c>
      <c r="D2603" s="3">
        <v>418.40000000000003</v>
      </c>
    </row>
    <row r="2604" spans="1:4" ht="14.7" hidden="1" thickBot="1" x14ac:dyDescent="0.6">
      <c r="A2604" s="1" t="s">
        <v>2</v>
      </c>
      <c r="B2604" t="str">
        <f>VLOOKUP(A2604,'Area Breakdown'!$B$1:$C$33,2,)</f>
        <v>Downtown</v>
      </c>
      <c r="C2604" s="2">
        <v>44396</v>
      </c>
      <c r="D2604" s="3">
        <v>409.20000000000005</v>
      </c>
    </row>
    <row r="2605" spans="1:4" ht="14.7" hidden="1" thickBot="1" x14ac:dyDescent="0.6">
      <c r="A2605" s="1" t="s">
        <v>17</v>
      </c>
      <c r="B2605" t="str">
        <f>VLOOKUP(A2605,'Area Breakdown'!$B$1:$C$33,2,)</f>
        <v>Heliopolis</v>
      </c>
      <c r="C2605" s="2">
        <v>44396</v>
      </c>
      <c r="D2605" s="3">
        <v>408.40000000000003</v>
      </c>
    </row>
    <row r="2606" spans="1:4" ht="14.7" hidden="1" thickBot="1" x14ac:dyDescent="0.6">
      <c r="A2606" s="1" t="s">
        <v>0</v>
      </c>
      <c r="B2606" t="str">
        <f>VLOOKUP(A2606,'Area Breakdown'!$B$1:$C$33,2,)</f>
        <v>Downtown</v>
      </c>
      <c r="C2606" s="2">
        <v>44396</v>
      </c>
      <c r="D2606" s="3">
        <v>408</v>
      </c>
    </row>
    <row r="2607" spans="1:4" ht="14.7" hidden="1" thickBot="1" x14ac:dyDescent="0.6">
      <c r="A2607" s="1" t="s">
        <v>1</v>
      </c>
      <c r="B2607" t="str">
        <f>VLOOKUP(A2607,'Area Breakdown'!$B$1:$C$33,2,)</f>
        <v>Downtown</v>
      </c>
      <c r="C2607" s="2">
        <v>44396</v>
      </c>
      <c r="D2607" s="3">
        <v>395.20000000000005</v>
      </c>
    </row>
    <row r="2608" spans="1:4" ht="14.7" hidden="1" thickBot="1" x14ac:dyDescent="0.6">
      <c r="A2608" s="1" t="s">
        <v>8</v>
      </c>
      <c r="B2608" t="str">
        <f>VLOOKUP(A2608,'Area Breakdown'!$B$1:$C$33,2,)</f>
        <v>Heliopolis</v>
      </c>
      <c r="C2608" s="2">
        <v>44396</v>
      </c>
      <c r="D2608" s="3">
        <v>326.8</v>
      </c>
    </row>
    <row r="2609" spans="1:4" ht="14.7" hidden="1" thickBot="1" x14ac:dyDescent="0.6">
      <c r="A2609" s="1" t="s">
        <v>10</v>
      </c>
      <c r="B2609" t="str">
        <f>VLOOKUP(A2609,'Area Breakdown'!$B$1:$C$33,2,)</f>
        <v xml:space="preserve">Alexandria </v>
      </c>
      <c r="C2609" s="2">
        <v>44396</v>
      </c>
      <c r="D2609" s="3">
        <v>322</v>
      </c>
    </row>
    <row r="2610" spans="1:4" ht="14.7" hidden="1" thickBot="1" x14ac:dyDescent="0.6">
      <c r="A2610" s="1" t="s">
        <v>3</v>
      </c>
      <c r="B2610" t="str">
        <f>VLOOKUP(A2610,'Area Breakdown'!$B$1:$C$33,2,)</f>
        <v>Downtown</v>
      </c>
      <c r="C2610" s="2">
        <v>44396</v>
      </c>
      <c r="D2610" s="3">
        <v>252.8</v>
      </c>
    </row>
    <row r="2611" spans="1:4" ht="14.7" hidden="1" thickBot="1" x14ac:dyDescent="0.6">
      <c r="A2611" s="1" t="s">
        <v>6</v>
      </c>
      <c r="B2611" t="str">
        <f>VLOOKUP(A2611,'Area Breakdown'!$B$1:$C$33,2,)</f>
        <v xml:space="preserve">Alexandria </v>
      </c>
      <c r="C2611" s="2">
        <v>44396</v>
      </c>
      <c r="D2611" s="3">
        <v>216</v>
      </c>
    </row>
    <row r="2612" spans="1:4" ht="14.7" hidden="1" thickBot="1" x14ac:dyDescent="0.6">
      <c r="A2612" s="1" t="s">
        <v>23</v>
      </c>
      <c r="B2612" t="str">
        <f>VLOOKUP(A2612,'Area Breakdown'!$B$1:$C$33,2,)</f>
        <v>Heliopolis</v>
      </c>
      <c r="C2612" s="2">
        <v>44396</v>
      </c>
      <c r="D2612" s="3">
        <v>215.60000000000002</v>
      </c>
    </row>
    <row r="2613" spans="1:4" ht="14.7" hidden="1" thickBot="1" x14ac:dyDescent="0.6">
      <c r="A2613" s="1" t="s">
        <v>4</v>
      </c>
      <c r="B2613" t="str">
        <f>VLOOKUP(A2613,'Area Breakdown'!$B$1:$C$33,2,)</f>
        <v>Downtown</v>
      </c>
      <c r="C2613" s="2">
        <v>44396</v>
      </c>
      <c r="D2613" s="3">
        <v>158</v>
      </c>
    </row>
    <row r="2614" spans="1:4" ht="14.7" hidden="1" thickBot="1" x14ac:dyDescent="0.6">
      <c r="A2614" s="1" t="s">
        <v>7</v>
      </c>
      <c r="B2614" t="str">
        <f>VLOOKUP(A2614,'Area Breakdown'!$B$1:$C$33,2,)</f>
        <v>October</v>
      </c>
      <c r="C2614" s="2">
        <v>44396</v>
      </c>
      <c r="D2614" s="3">
        <v>111.60000000000001</v>
      </c>
    </row>
    <row r="2615" spans="1:4" ht="14.7" hidden="1" thickBot="1" x14ac:dyDescent="0.6">
      <c r="A2615" s="1" t="s">
        <v>11</v>
      </c>
      <c r="B2615" t="str">
        <f>VLOOKUP(A2615,'Area Breakdown'!$B$1:$C$33,2,)</f>
        <v>New Cairo</v>
      </c>
      <c r="C2615" s="2">
        <v>44396</v>
      </c>
      <c r="D2615" s="3">
        <v>78.400000000000006</v>
      </c>
    </row>
    <row r="2616" spans="1:4" ht="14.7" hidden="1" thickBot="1" x14ac:dyDescent="0.6">
      <c r="A2616" s="1" t="s">
        <v>29</v>
      </c>
      <c r="B2616" t="str">
        <f>VLOOKUP(A2616,'Area Breakdown'!$B$1:$C$33,2,)</f>
        <v>Downtown</v>
      </c>
      <c r="C2616" s="2">
        <v>44396</v>
      </c>
      <c r="D2616" s="3">
        <v>0</v>
      </c>
    </row>
    <row r="2617" spans="1:4" ht="14.7" hidden="1" thickBot="1" x14ac:dyDescent="0.6">
      <c r="A2617" s="1" t="s">
        <v>27</v>
      </c>
      <c r="B2617" t="str">
        <f>VLOOKUP(A2617,'Area Breakdown'!$B$1:$C$33,2,)</f>
        <v xml:space="preserve">Alexandria </v>
      </c>
      <c r="C2617" s="2">
        <v>44397</v>
      </c>
      <c r="D2617" s="3">
        <v>1519.6000000000001</v>
      </c>
    </row>
    <row r="2618" spans="1:4" ht="14.7" hidden="1" thickBot="1" x14ac:dyDescent="0.6">
      <c r="A2618" s="1" t="s">
        <v>16</v>
      </c>
      <c r="B2618" t="str">
        <f>VLOOKUP(A2618,'Area Breakdown'!$B$1:$C$33,2,)</f>
        <v>Downtown</v>
      </c>
      <c r="C2618" s="2">
        <v>44397</v>
      </c>
      <c r="D2618" s="3">
        <v>1159.2</v>
      </c>
    </row>
    <row r="2619" spans="1:4" ht="14.7" hidden="1" thickBot="1" x14ac:dyDescent="0.6">
      <c r="A2619" s="1" t="s">
        <v>25</v>
      </c>
      <c r="B2619" t="str">
        <f>VLOOKUP(A2619,'Area Breakdown'!$B$1:$C$33,2,)</f>
        <v>October</v>
      </c>
      <c r="C2619" s="2">
        <v>44397</v>
      </c>
      <c r="D2619" s="3">
        <v>1045.2</v>
      </c>
    </row>
    <row r="2620" spans="1:4" ht="14.7" hidden="1" thickBot="1" x14ac:dyDescent="0.6">
      <c r="A2620" s="1" t="s">
        <v>1</v>
      </c>
      <c r="B2620" t="str">
        <f>VLOOKUP(A2620,'Area Breakdown'!$B$1:$C$33,2,)</f>
        <v>Downtown</v>
      </c>
      <c r="C2620" s="2">
        <v>44397</v>
      </c>
      <c r="D2620" s="3">
        <v>1013.6</v>
      </c>
    </row>
    <row r="2621" spans="1:4" ht="14.7" hidden="1" thickBot="1" x14ac:dyDescent="0.6">
      <c r="A2621" s="1" t="s">
        <v>12</v>
      </c>
      <c r="B2621" t="str">
        <f>VLOOKUP(A2621,'Area Breakdown'!$B$1:$C$33,2,)</f>
        <v>New Cairo</v>
      </c>
      <c r="C2621" s="2">
        <v>44397</v>
      </c>
      <c r="D2621" s="3">
        <v>927.2</v>
      </c>
    </row>
    <row r="2622" spans="1:4" ht="14.7" hidden="1" thickBot="1" x14ac:dyDescent="0.6">
      <c r="A2622" s="1" t="s">
        <v>21</v>
      </c>
      <c r="B2622" t="str">
        <f>VLOOKUP(A2622,'Area Breakdown'!$B$1:$C$33,2,)</f>
        <v>Heliopolis</v>
      </c>
      <c r="C2622" s="2">
        <v>44397</v>
      </c>
      <c r="D2622" s="3">
        <v>892</v>
      </c>
    </row>
    <row r="2623" spans="1:4" ht="14.7" hidden="1" thickBot="1" x14ac:dyDescent="0.6">
      <c r="A2623" s="1" t="s">
        <v>19</v>
      </c>
      <c r="B2623" t="str">
        <f>VLOOKUP(A2623,'Area Breakdown'!$B$1:$C$33,2,)</f>
        <v>Downtown</v>
      </c>
      <c r="C2623" s="2">
        <v>44397</v>
      </c>
      <c r="D2623" s="3">
        <v>884</v>
      </c>
    </row>
    <row r="2624" spans="1:4" ht="14.7" hidden="1" thickBot="1" x14ac:dyDescent="0.6">
      <c r="A2624" s="1" t="s">
        <v>15</v>
      </c>
      <c r="B2624" t="str">
        <f>VLOOKUP(A2624,'Area Breakdown'!$B$1:$C$33,2,)</f>
        <v>Heliopolis</v>
      </c>
      <c r="C2624" s="2">
        <v>44397</v>
      </c>
      <c r="D2624" s="3">
        <v>859.2</v>
      </c>
    </row>
    <row r="2625" spans="1:4" ht="14.7" hidden="1" thickBot="1" x14ac:dyDescent="0.6">
      <c r="A2625" s="1" t="s">
        <v>22</v>
      </c>
      <c r="B2625" t="str">
        <f>VLOOKUP(A2625,'Area Breakdown'!$B$1:$C$33,2,)</f>
        <v>Heliopolis</v>
      </c>
      <c r="C2625" s="2">
        <v>44397</v>
      </c>
      <c r="D2625" s="3">
        <v>771.6</v>
      </c>
    </row>
    <row r="2626" spans="1:4" ht="14.7" hidden="1" thickBot="1" x14ac:dyDescent="0.6">
      <c r="A2626" s="1" t="s">
        <v>0</v>
      </c>
      <c r="B2626" t="str">
        <f>VLOOKUP(A2626,'Area Breakdown'!$B$1:$C$33,2,)</f>
        <v>Downtown</v>
      </c>
      <c r="C2626" s="2">
        <v>44397</v>
      </c>
      <c r="D2626" s="3">
        <v>735.6</v>
      </c>
    </row>
    <row r="2627" spans="1:4" ht="14.7" hidden="1" thickBot="1" x14ac:dyDescent="0.6">
      <c r="A2627" s="1" t="s">
        <v>24</v>
      </c>
      <c r="B2627" t="str">
        <f>VLOOKUP(A2627,'Area Breakdown'!$B$1:$C$33,2,)</f>
        <v>October</v>
      </c>
      <c r="C2627" s="2">
        <v>44397</v>
      </c>
      <c r="D2627" s="3">
        <v>668.40000000000009</v>
      </c>
    </row>
    <row r="2628" spans="1:4" ht="14.7" hidden="1" thickBot="1" x14ac:dyDescent="0.6">
      <c r="A2628" s="1" t="s">
        <v>20</v>
      </c>
      <c r="B2628" t="str">
        <f>VLOOKUP(A2628,'Area Breakdown'!$B$1:$C$33,2,)</f>
        <v>Downtown</v>
      </c>
      <c r="C2628" s="2">
        <v>44397</v>
      </c>
      <c r="D2628" s="3">
        <v>651.6</v>
      </c>
    </row>
    <row r="2629" spans="1:4" ht="14.7" hidden="1" thickBot="1" x14ac:dyDescent="0.6">
      <c r="A2629" s="1" t="s">
        <v>10</v>
      </c>
      <c r="B2629" t="str">
        <f>VLOOKUP(A2629,'Area Breakdown'!$B$1:$C$33,2,)</f>
        <v xml:space="preserve">Alexandria </v>
      </c>
      <c r="C2629" s="2">
        <v>44397</v>
      </c>
      <c r="D2629" s="3">
        <v>571.6</v>
      </c>
    </row>
    <row r="2630" spans="1:4" ht="14.7" hidden="1" thickBot="1" x14ac:dyDescent="0.6">
      <c r="A2630" s="1" t="s">
        <v>3</v>
      </c>
      <c r="B2630" t="str">
        <f>VLOOKUP(A2630,'Area Breakdown'!$B$1:$C$33,2,)</f>
        <v>Downtown</v>
      </c>
      <c r="C2630" s="2">
        <v>44397</v>
      </c>
      <c r="D2630" s="3">
        <v>549.6</v>
      </c>
    </row>
    <row r="2631" spans="1:4" ht="14.7" hidden="1" thickBot="1" x14ac:dyDescent="0.6">
      <c r="A2631" s="1" t="s">
        <v>9</v>
      </c>
      <c r="B2631" t="str">
        <f>VLOOKUP(A2631,'Area Breakdown'!$B$1:$C$33,2,)</f>
        <v xml:space="preserve">Alexandria </v>
      </c>
      <c r="C2631" s="2">
        <v>44397</v>
      </c>
      <c r="D2631" s="3">
        <v>530</v>
      </c>
    </row>
    <row r="2632" spans="1:4" ht="14.7" hidden="1" thickBot="1" x14ac:dyDescent="0.6">
      <c r="A2632" s="1" t="s">
        <v>2</v>
      </c>
      <c r="B2632" t="str">
        <f>VLOOKUP(A2632,'Area Breakdown'!$B$1:$C$33,2,)</f>
        <v>Downtown</v>
      </c>
      <c r="C2632" s="2">
        <v>44397</v>
      </c>
      <c r="D2632" s="3">
        <v>524</v>
      </c>
    </row>
    <row r="2633" spans="1:4" ht="14.7" hidden="1" thickBot="1" x14ac:dyDescent="0.6">
      <c r="A2633" s="1" t="s">
        <v>17</v>
      </c>
      <c r="B2633" t="str">
        <f>VLOOKUP(A2633,'Area Breakdown'!$B$1:$C$33,2,)</f>
        <v>Heliopolis</v>
      </c>
      <c r="C2633" s="2">
        <v>44397</v>
      </c>
      <c r="D2633" s="3">
        <v>492</v>
      </c>
    </row>
    <row r="2634" spans="1:4" ht="14.7" hidden="1" thickBot="1" x14ac:dyDescent="0.6">
      <c r="A2634" s="1" t="s">
        <v>7</v>
      </c>
      <c r="B2634" t="str">
        <f>VLOOKUP(A2634,'Area Breakdown'!$B$1:$C$33,2,)</f>
        <v>October</v>
      </c>
      <c r="C2634" s="2">
        <v>44397</v>
      </c>
      <c r="D2634" s="3">
        <v>432</v>
      </c>
    </row>
    <row r="2635" spans="1:4" ht="14.7" hidden="1" thickBot="1" x14ac:dyDescent="0.6">
      <c r="A2635" s="1" t="s">
        <v>30</v>
      </c>
      <c r="B2635" t="str">
        <f>VLOOKUP(A2635,'Area Breakdown'!$B$1:$C$33,2,)</f>
        <v>October</v>
      </c>
      <c r="C2635" s="2">
        <v>44397</v>
      </c>
      <c r="D2635" s="3">
        <v>405.20000000000005</v>
      </c>
    </row>
    <row r="2636" spans="1:4" ht="14.7" hidden="1" thickBot="1" x14ac:dyDescent="0.6">
      <c r="A2636" s="1" t="s">
        <v>23</v>
      </c>
      <c r="B2636" t="str">
        <f>VLOOKUP(A2636,'Area Breakdown'!$B$1:$C$33,2,)</f>
        <v>Heliopolis</v>
      </c>
      <c r="C2636" s="2">
        <v>44397</v>
      </c>
      <c r="D2636" s="3">
        <v>399.6</v>
      </c>
    </row>
    <row r="2637" spans="1:4" ht="14.7" hidden="1" thickBot="1" x14ac:dyDescent="0.6">
      <c r="A2637" s="1" t="s">
        <v>13</v>
      </c>
      <c r="B2637" t="str">
        <f>VLOOKUP(A2637,'Area Breakdown'!$B$1:$C$33,2,)</f>
        <v>Heliopolis</v>
      </c>
      <c r="C2637" s="2">
        <v>44397</v>
      </c>
      <c r="D2637" s="3">
        <v>371.6</v>
      </c>
    </row>
    <row r="2638" spans="1:4" ht="14.7" hidden="1" thickBot="1" x14ac:dyDescent="0.6">
      <c r="A2638" s="1" t="s">
        <v>8</v>
      </c>
      <c r="B2638" t="str">
        <f>VLOOKUP(A2638,'Area Breakdown'!$B$1:$C$33,2,)</f>
        <v>Heliopolis</v>
      </c>
      <c r="C2638" s="2">
        <v>44397</v>
      </c>
      <c r="D2638" s="3">
        <v>343.6</v>
      </c>
    </row>
    <row r="2639" spans="1:4" ht="14.7" hidden="1" thickBot="1" x14ac:dyDescent="0.6">
      <c r="A2639" s="1" t="s">
        <v>6</v>
      </c>
      <c r="B2639" t="str">
        <f>VLOOKUP(A2639,'Area Breakdown'!$B$1:$C$33,2,)</f>
        <v xml:space="preserve">Alexandria </v>
      </c>
      <c r="C2639" s="2">
        <v>44397</v>
      </c>
      <c r="D2639" s="3">
        <v>299.2</v>
      </c>
    </row>
    <row r="2640" spans="1:4" ht="14.7" hidden="1" thickBot="1" x14ac:dyDescent="0.6">
      <c r="A2640" s="1" t="s">
        <v>11</v>
      </c>
      <c r="B2640" t="str">
        <f>VLOOKUP(A2640,'Area Breakdown'!$B$1:$C$33,2,)</f>
        <v>New Cairo</v>
      </c>
      <c r="C2640" s="2">
        <v>44397</v>
      </c>
      <c r="D2640" s="3">
        <v>150.4</v>
      </c>
    </row>
    <row r="2641" spans="1:4" ht="14.7" hidden="1" thickBot="1" x14ac:dyDescent="0.6">
      <c r="A2641" s="1" t="s">
        <v>4</v>
      </c>
      <c r="B2641" t="str">
        <f>VLOOKUP(A2641,'Area Breakdown'!$B$1:$C$33,2,)</f>
        <v>Downtown</v>
      </c>
      <c r="C2641" s="2">
        <v>44397</v>
      </c>
      <c r="D2641" s="3">
        <v>93.2</v>
      </c>
    </row>
    <row r="2642" spans="1:4" ht="14.7" hidden="1" thickBot="1" x14ac:dyDescent="0.6">
      <c r="A2642" s="1" t="s">
        <v>29</v>
      </c>
      <c r="B2642" t="str">
        <f>VLOOKUP(A2642,'Area Breakdown'!$B$1:$C$33,2,)</f>
        <v>Downtown</v>
      </c>
      <c r="C2642" s="2">
        <v>44397</v>
      </c>
      <c r="D2642" s="3">
        <v>0</v>
      </c>
    </row>
    <row r="2643" spans="1:4" ht="14.7" hidden="1" thickBot="1" x14ac:dyDescent="0.6">
      <c r="A2643" s="1" t="s">
        <v>25</v>
      </c>
      <c r="B2643" t="str">
        <f>VLOOKUP(A2643,'Area Breakdown'!$B$1:$C$33,2,)</f>
        <v>October</v>
      </c>
      <c r="C2643" s="2">
        <v>44398</v>
      </c>
      <c r="D2643" s="3">
        <v>1114.4000000000001</v>
      </c>
    </row>
    <row r="2644" spans="1:4" ht="14.7" hidden="1" thickBot="1" x14ac:dyDescent="0.6">
      <c r="A2644" s="1" t="s">
        <v>0</v>
      </c>
      <c r="B2644" t="str">
        <f>VLOOKUP(A2644,'Area Breakdown'!$B$1:$C$33,2,)</f>
        <v>Downtown</v>
      </c>
      <c r="C2644" s="2">
        <v>44398</v>
      </c>
      <c r="D2644" s="3">
        <v>927.6</v>
      </c>
    </row>
    <row r="2645" spans="1:4" ht="14.7" hidden="1" thickBot="1" x14ac:dyDescent="0.6">
      <c r="A2645" s="1" t="s">
        <v>16</v>
      </c>
      <c r="B2645" t="str">
        <f>VLOOKUP(A2645,'Area Breakdown'!$B$1:$C$33,2,)</f>
        <v>Downtown</v>
      </c>
      <c r="C2645" s="2">
        <v>44398</v>
      </c>
      <c r="D2645" s="3">
        <v>874.40000000000009</v>
      </c>
    </row>
    <row r="2646" spans="1:4" ht="14.7" hidden="1" thickBot="1" x14ac:dyDescent="0.6">
      <c r="A2646" s="1" t="s">
        <v>24</v>
      </c>
      <c r="B2646" t="str">
        <f>VLOOKUP(A2646,'Area Breakdown'!$B$1:$C$33,2,)</f>
        <v>October</v>
      </c>
      <c r="C2646" s="2">
        <v>44398</v>
      </c>
      <c r="D2646" s="3">
        <v>867.6</v>
      </c>
    </row>
    <row r="2647" spans="1:4" ht="14.7" hidden="1" thickBot="1" x14ac:dyDescent="0.6">
      <c r="A2647" s="1" t="s">
        <v>27</v>
      </c>
      <c r="B2647" t="str">
        <f>VLOOKUP(A2647,'Area Breakdown'!$B$1:$C$33,2,)</f>
        <v xml:space="preserve">Alexandria </v>
      </c>
      <c r="C2647" s="2">
        <v>44398</v>
      </c>
      <c r="D2647" s="3">
        <v>834</v>
      </c>
    </row>
    <row r="2648" spans="1:4" ht="14.7" hidden="1" thickBot="1" x14ac:dyDescent="0.6">
      <c r="A2648" s="1" t="s">
        <v>10</v>
      </c>
      <c r="B2648" t="str">
        <f>VLOOKUP(A2648,'Area Breakdown'!$B$1:$C$33,2,)</f>
        <v xml:space="preserve">Alexandria </v>
      </c>
      <c r="C2648" s="2">
        <v>44398</v>
      </c>
      <c r="D2648" s="3">
        <v>752.40000000000009</v>
      </c>
    </row>
    <row r="2649" spans="1:4" ht="14.7" hidden="1" thickBot="1" x14ac:dyDescent="0.6">
      <c r="A2649" s="1" t="s">
        <v>13</v>
      </c>
      <c r="B2649" t="str">
        <f>VLOOKUP(A2649,'Area Breakdown'!$B$1:$C$33,2,)</f>
        <v>Heliopolis</v>
      </c>
      <c r="C2649" s="2">
        <v>44398</v>
      </c>
      <c r="D2649" s="3">
        <v>678.40000000000009</v>
      </c>
    </row>
    <row r="2650" spans="1:4" ht="14.7" hidden="1" thickBot="1" x14ac:dyDescent="0.6">
      <c r="A2650" s="1" t="s">
        <v>1</v>
      </c>
      <c r="B2650" t="str">
        <f>VLOOKUP(A2650,'Area Breakdown'!$B$1:$C$33,2,)</f>
        <v>Downtown</v>
      </c>
      <c r="C2650" s="2">
        <v>44398</v>
      </c>
      <c r="D2650" s="3">
        <v>669.2</v>
      </c>
    </row>
    <row r="2651" spans="1:4" ht="14.7" hidden="1" thickBot="1" x14ac:dyDescent="0.6">
      <c r="A2651" s="1" t="s">
        <v>9</v>
      </c>
      <c r="B2651" t="str">
        <f>VLOOKUP(A2651,'Area Breakdown'!$B$1:$C$33,2,)</f>
        <v xml:space="preserve">Alexandria </v>
      </c>
      <c r="C2651" s="2">
        <v>44398</v>
      </c>
      <c r="D2651" s="3">
        <v>610.4</v>
      </c>
    </row>
    <row r="2652" spans="1:4" ht="14.7" hidden="1" thickBot="1" x14ac:dyDescent="0.6">
      <c r="A2652" s="1" t="s">
        <v>19</v>
      </c>
      <c r="B2652" t="str">
        <f>VLOOKUP(A2652,'Area Breakdown'!$B$1:$C$33,2,)</f>
        <v>Downtown</v>
      </c>
      <c r="C2652" s="2">
        <v>44398</v>
      </c>
      <c r="D2652" s="3">
        <v>568.4</v>
      </c>
    </row>
    <row r="2653" spans="1:4" ht="14.7" hidden="1" thickBot="1" x14ac:dyDescent="0.6">
      <c r="A2653" s="1" t="s">
        <v>20</v>
      </c>
      <c r="B2653" t="str">
        <f>VLOOKUP(A2653,'Area Breakdown'!$B$1:$C$33,2,)</f>
        <v>Downtown</v>
      </c>
      <c r="C2653" s="2">
        <v>44398</v>
      </c>
      <c r="D2653" s="3">
        <v>504.8</v>
      </c>
    </row>
    <row r="2654" spans="1:4" ht="14.7" hidden="1" thickBot="1" x14ac:dyDescent="0.6">
      <c r="A2654" s="1" t="s">
        <v>2</v>
      </c>
      <c r="B2654" t="str">
        <f>VLOOKUP(A2654,'Area Breakdown'!$B$1:$C$33,2,)</f>
        <v>Downtown</v>
      </c>
      <c r="C2654" s="2">
        <v>44398</v>
      </c>
      <c r="D2654" s="3">
        <v>467.20000000000005</v>
      </c>
    </row>
    <row r="2655" spans="1:4" ht="14.7" hidden="1" thickBot="1" x14ac:dyDescent="0.6">
      <c r="A2655" s="1" t="s">
        <v>12</v>
      </c>
      <c r="B2655" t="str">
        <f>VLOOKUP(A2655,'Area Breakdown'!$B$1:$C$33,2,)</f>
        <v>New Cairo</v>
      </c>
      <c r="C2655" s="2">
        <v>44398</v>
      </c>
      <c r="D2655" s="3">
        <v>454</v>
      </c>
    </row>
    <row r="2656" spans="1:4" ht="14.7" hidden="1" thickBot="1" x14ac:dyDescent="0.6">
      <c r="A2656" s="1" t="s">
        <v>15</v>
      </c>
      <c r="B2656" t="str">
        <f>VLOOKUP(A2656,'Area Breakdown'!$B$1:$C$33,2,)</f>
        <v>Heliopolis</v>
      </c>
      <c r="C2656" s="2">
        <v>44398</v>
      </c>
      <c r="D2656" s="3">
        <v>435.20000000000005</v>
      </c>
    </row>
    <row r="2657" spans="1:4" ht="14.7" hidden="1" thickBot="1" x14ac:dyDescent="0.6">
      <c r="A2657" s="1" t="s">
        <v>17</v>
      </c>
      <c r="B2657" t="str">
        <f>VLOOKUP(A2657,'Area Breakdown'!$B$1:$C$33,2,)</f>
        <v>Heliopolis</v>
      </c>
      <c r="C2657" s="2">
        <v>44398</v>
      </c>
      <c r="D2657" s="3">
        <v>434.40000000000003</v>
      </c>
    </row>
    <row r="2658" spans="1:4" ht="14.7" hidden="1" thickBot="1" x14ac:dyDescent="0.6">
      <c r="A2658" s="1" t="s">
        <v>3</v>
      </c>
      <c r="B2658" t="str">
        <f>VLOOKUP(A2658,'Area Breakdown'!$B$1:$C$33,2,)</f>
        <v>Downtown</v>
      </c>
      <c r="C2658" s="2">
        <v>44398</v>
      </c>
      <c r="D2658" s="3">
        <v>423.20000000000005</v>
      </c>
    </row>
    <row r="2659" spans="1:4" ht="14.7" hidden="1" thickBot="1" x14ac:dyDescent="0.6">
      <c r="A2659" s="1" t="s">
        <v>11</v>
      </c>
      <c r="B2659" t="str">
        <f>VLOOKUP(A2659,'Area Breakdown'!$B$1:$C$33,2,)</f>
        <v>New Cairo</v>
      </c>
      <c r="C2659" s="2">
        <v>44398</v>
      </c>
      <c r="D2659" s="3">
        <v>373.20000000000005</v>
      </c>
    </row>
    <row r="2660" spans="1:4" ht="14.7" hidden="1" thickBot="1" x14ac:dyDescent="0.6">
      <c r="A2660" s="1" t="s">
        <v>6</v>
      </c>
      <c r="B2660" t="str">
        <f>VLOOKUP(A2660,'Area Breakdown'!$B$1:$C$33,2,)</f>
        <v xml:space="preserve">Alexandria </v>
      </c>
      <c r="C2660" s="2">
        <v>44398</v>
      </c>
      <c r="D2660" s="3">
        <v>308.40000000000003</v>
      </c>
    </row>
    <row r="2661" spans="1:4" ht="14.7" hidden="1" thickBot="1" x14ac:dyDescent="0.6">
      <c r="A2661" s="1" t="s">
        <v>23</v>
      </c>
      <c r="B2661" t="str">
        <f>VLOOKUP(A2661,'Area Breakdown'!$B$1:$C$33,2,)</f>
        <v>Heliopolis</v>
      </c>
      <c r="C2661" s="2">
        <v>44398</v>
      </c>
      <c r="D2661" s="3">
        <v>258.8</v>
      </c>
    </row>
    <row r="2662" spans="1:4" ht="14.7" hidden="1" thickBot="1" x14ac:dyDescent="0.6">
      <c r="A2662" s="1" t="s">
        <v>4</v>
      </c>
      <c r="B2662" t="str">
        <f>VLOOKUP(A2662,'Area Breakdown'!$B$1:$C$33,2,)</f>
        <v>Downtown</v>
      </c>
      <c r="C2662" s="2">
        <v>44398</v>
      </c>
      <c r="D2662" s="3">
        <v>233.20000000000002</v>
      </c>
    </row>
    <row r="2663" spans="1:4" ht="14.7" hidden="1" thickBot="1" x14ac:dyDescent="0.6">
      <c r="A2663" s="1" t="s">
        <v>30</v>
      </c>
      <c r="B2663" t="str">
        <f>VLOOKUP(A2663,'Area Breakdown'!$B$1:$C$33,2,)</f>
        <v>October</v>
      </c>
      <c r="C2663" s="2">
        <v>44398</v>
      </c>
      <c r="D2663" s="3">
        <v>156.80000000000001</v>
      </c>
    </row>
    <row r="2664" spans="1:4" ht="14.7" hidden="1" thickBot="1" x14ac:dyDescent="0.6">
      <c r="A2664" s="1" t="s">
        <v>8</v>
      </c>
      <c r="B2664" t="str">
        <f>VLOOKUP(A2664,'Area Breakdown'!$B$1:$C$33,2,)</f>
        <v>Heliopolis</v>
      </c>
      <c r="C2664" s="2">
        <v>44398</v>
      </c>
      <c r="D2664" s="3">
        <v>151.20000000000002</v>
      </c>
    </row>
    <row r="2665" spans="1:4" ht="14.7" hidden="1" thickBot="1" x14ac:dyDescent="0.6">
      <c r="A2665" s="1" t="s">
        <v>7</v>
      </c>
      <c r="B2665" t="str">
        <f>VLOOKUP(A2665,'Area Breakdown'!$B$1:$C$33,2,)</f>
        <v>October</v>
      </c>
      <c r="C2665" s="2">
        <v>44398</v>
      </c>
      <c r="D2665" s="3">
        <v>53.2</v>
      </c>
    </row>
    <row r="2666" spans="1:4" ht="14.7" hidden="1" thickBot="1" x14ac:dyDescent="0.6">
      <c r="A2666" s="1" t="s">
        <v>22</v>
      </c>
      <c r="B2666" t="str">
        <f>VLOOKUP(A2666,'Area Breakdown'!$B$1:$C$33,2,)</f>
        <v>Heliopolis</v>
      </c>
      <c r="C2666" s="2">
        <v>44398</v>
      </c>
      <c r="D2666" s="3">
        <v>0</v>
      </c>
    </row>
    <row r="2667" spans="1:4" ht="14.7" hidden="1" thickBot="1" x14ac:dyDescent="0.6">
      <c r="A2667" s="1" t="s">
        <v>29</v>
      </c>
      <c r="B2667" t="str">
        <f>VLOOKUP(A2667,'Area Breakdown'!$B$1:$C$33,2,)</f>
        <v>Downtown</v>
      </c>
      <c r="C2667" s="2">
        <v>44398</v>
      </c>
      <c r="D2667" s="3">
        <v>0</v>
      </c>
    </row>
    <row r="2668" spans="1:4" ht="14.7" hidden="1" thickBot="1" x14ac:dyDescent="0.6">
      <c r="A2668" s="1" t="s">
        <v>21</v>
      </c>
      <c r="B2668" t="str">
        <f>VLOOKUP(A2668,'Area Breakdown'!$B$1:$C$33,2,)</f>
        <v>Heliopolis</v>
      </c>
      <c r="C2668" s="2">
        <v>44398</v>
      </c>
      <c r="D2668" s="3">
        <v>1334.8000000000002</v>
      </c>
    </row>
    <row r="2669" spans="1:4" ht="14.7" hidden="1" thickBot="1" x14ac:dyDescent="0.6">
      <c r="A2669" s="1" t="s">
        <v>27</v>
      </c>
      <c r="B2669" t="str">
        <f>VLOOKUP(A2669,'Area Breakdown'!$B$1:$C$33,2,)</f>
        <v xml:space="preserve">Alexandria </v>
      </c>
      <c r="C2669" s="2">
        <v>44399</v>
      </c>
      <c r="D2669" s="3">
        <v>1020</v>
      </c>
    </row>
    <row r="2670" spans="1:4" ht="14.7" hidden="1" thickBot="1" x14ac:dyDescent="0.6">
      <c r="A2670" s="1" t="s">
        <v>25</v>
      </c>
      <c r="B2670" t="str">
        <f>VLOOKUP(A2670,'Area Breakdown'!$B$1:$C$33,2,)</f>
        <v>October</v>
      </c>
      <c r="C2670" s="2">
        <v>44399</v>
      </c>
      <c r="D2670" s="3">
        <v>960.80000000000007</v>
      </c>
    </row>
    <row r="2671" spans="1:4" ht="14.7" hidden="1" thickBot="1" x14ac:dyDescent="0.6">
      <c r="A2671" s="1" t="s">
        <v>17</v>
      </c>
      <c r="B2671" t="str">
        <f>VLOOKUP(A2671,'Area Breakdown'!$B$1:$C$33,2,)</f>
        <v>Heliopolis</v>
      </c>
      <c r="C2671" s="2">
        <v>44399</v>
      </c>
      <c r="D2671" s="3">
        <v>798.80000000000007</v>
      </c>
    </row>
    <row r="2672" spans="1:4" ht="14.7" hidden="1" thickBot="1" x14ac:dyDescent="0.6">
      <c r="A2672" s="1" t="s">
        <v>0</v>
      </c>
      <c r="B2672" t="str">
        <f>VLOOKUP(A2672,'Area Breakdown'!$B$1:$C$33,2,)</f>
        <v>Downtown</v>
      </c>
      <c r="C2672" s="2">
        <v>44399</v>
      </c>
      <c r="D2672" s="3">
        <v>723.6</v>
      </c>
    </row>
    <row r="2673" spans="1:4" ht="14.7" hidden="1" thickBot="1" x14ac:dyDescent="0.6">
      <c r="A2673" s="1" t="s">
        <v>19</v>
      </c>
      <c r="B2673" t="str">
        <f>VLOOKUP(A2673,'Area Breakdown'!$B$1:$C$33,2,)</f>
        <v>Downtown</v>
      </c>
      <c r="C2673" s="2">
        <v>44399</v>
      </c>
      <c r="D2673" s="3">
        <v>708</v>
      </c>
    </row>
    <row r="2674" spans="1:4" ht="14.7" hidden="1" thickBot="1" x14ac:dyDescent="0.6">
      <c r="A2674" s="1" t="s">
        <v>24</v>
      </c>
      <c r="B2674" t="str">
        <f>VLOOKUP(A2674,'Area Breakdown'!$B$1:$C$33,2,)</f>
        <v>October</v>
      </c>
      <c r="C2674" s="2">
        <v>44399</v>
      </c>
      <c r="D2674" s="3">
        <v>698.40000000000009</v>
      </c>
    </row>
    <row r="2675" spans="1:4" ht="14.7" hidden="1" thickBot="1" x14ac:dyDescent="0.6">
      <c r="A2675" s="1" t="s">
        <v>12</v>
      </c>
      <c r="B2675" t="str">
        <f>VLOOKUP(A2675,'Area Breakdown'!$B$1:$C$33,2,)</f>
        <v>New Cairo</v>
      </c>
      <c r="C2675" s="2">
        <v>44399</v>
      </c>
      <c r="D2675" s="3">
        <v>567.6</v>
      </c>
    </row>
    <row r="2676" spans="1:4" ht="14.7" hidden="1" thickBot="1" x14ac:dyDescent="0.6">
      <c r="A2676" s="1" t="s">
        <v>16</v>
      </c>
      <c r="B2676" t="str">
        <f>VLOOKUP(A2676,'Area Breakdown'!$B$1:$C$33,2,)</f>
        <v>Downtown</v>
      </c>
      <c r="C2676" s="2">
        <v>44399</v>
      </c>
      <c r="D2676" s="3">
        <v>553.20000000000005</v>
      </c>
    </row>
    <row r="2677" spans="1:4" ht="14.7" hidden="1" thickBot="1" x14ac:dyDescent="0.6">
      <c r="A2677" s="1" t="s">
        <v>2</v>
      </c>
      <c r="B2677" t="str">
        <f>VLOOKUP(A2677,'Area Breakdown'!$B$1:$C$33,2,)</f>
        <v>Downtown</v>
      </c>
      <c r="C2677" s="2">
        <v>44399</v>
      </c>
      <c r="D2677" s="3">
        <v>492.8</v>
      </c>
    </row>
    <row r="2678" spans="1:4" ht="14.7" hidden="1" thickBot="1" x14ac:dyDescent="0.6">
      <c r="A2678" s="1" t="s">
        <v>15</v>
      </c>
      <c r="B2678" t="str">
        <f>VLOOKUP(A2678,'Area Breakdown'!$B$1:$C$33,2,)</f>
        <v>Heliopolis</v>
      </c>
      <c r="C2678" s="2">
        <v>44399</v>
      </c>
      <c r="D2678" s="3">
        <v>474.8</v>
      </c>
    </row>
    <row r="2679" spans="1:4" ht="14.7" hidden="1" thickBot="1" x14ac:dyDescent="0.6">
      <c r="A2679" s="1" t="s">
        <v>13</v>
      </c>
      <c r="B2679" t="str">
        <f>VLOOKUP(A2679,'Area Breakdown'!$B$1:$C$33,2,)</f>
        <v>Heliopolis</v>
      </c>
      <c r="C2679" s="2">
        <v>44399</v>
      </c>
      <c r="D2679" s="3">
        <v>470.8</v>
      </c>
    </row>
    <row r="2680" spans="1:4" ht="14.7" hidden="1" thickBot="1" x14ac:dyDescent="0.6">
      <c r="A2680" s="1" t="s">
        <v>30</v>
      </c>
      <c r="B2680" t="str">
        <f>VLOOKUP(A2680,'Area Breakdown'!$B$1:$C$33,2,)</f>
        <v>October</v>
      </c>
      <c r="C2680" s="2">
        <v>44399</v>
      </c>
      <c r="D2680" s="3">
        <v>447.20000000000005</v>
      </c>
    </row>
    <row r="2681" spans="1:4" ht="14.7" hidden="1" thickBot="1" x14ac:dyDescent="0.6">
      <c r="A2681" s="1" t="s">
        <v>9</v>
      </c>
      <c r="B2681" t="str">
        <f>VLOOKUP(A2681,'Area Breakdown'!$B$1:$C$33,2,)</f>
        <v xml:space="preserve">Alexandria </v>
      </c>
      <c r="C2681" s="2">
        <v>44399</v>
      </c>
      <c r="D2681" s="3">
        <v>440.40000000000003</v>
      </c>
    </row>
    <row r="2682" spans="1:4" ht="14.7" hidden="1" thickBot="1" x14ac:dyDescent="0.6">
      <c r="A2682" s="1" t="s">
        <v>20</v>
      </c>
      <c r="B2682" t="str">
        <f>VLOOKUP(A2682,'Area Breakdown'!$B$1:$C$33,2,)</f>
        <v>Downtown</v>
      </c>
      <c r="C2682" s="2">
        <v>44399</v>
      </c>
      <c r="D2682" s="3">
        <v>430.40000000000003</v>
      </c>
    </row>
    <row r="2683" spans="1:4" ht="14.7" hidden="1" thickBot="1" x14ac:dyDescent="0.6">
      <c r="A2683" s="1" t="s">
        <v>10</v>
      </c>
      <c r="B2683" t="str">
        <f>VLOOKUP(A2683,'Area Breakdown'!$B$1:$C$33,2,)</f>
        <v xml:space="preserve">Alexandria </v>
      </c>
      <c r="C2683" s="2">
        <v>44399</v>
      </c>
      <c r="D2683" s="3">
        <v>418.8</v>
      </c>
    </row>
    <row r="2684" spans="1:4" ht="14.7" hidden="1" thickBot="1" x14ac:dyDescent="0.6">
      <c r="A2684" s="1" t="s">
        <v>1</v>
      </c>
      <c r="B2684" t="str">
        <f>VLOOKUP(A2684,'Area Breakdown'!$B$1:$C$33,2,)</f>
        <v>Downtown</v>
      </c>
      <c r="C2684" s="2">
        <v>44399</v>
      </c>
      <c r="D2684" s="3">
        <v>404.40000000000003</v>
      </c>
    </row>
    <row r="2685" spans="1:4" ht="14.7" hidden="1" thickBot="1" x14ac:dyDescent="0.6">
      <c r="A2685" s="1" t="s">
        <v>23</v>
      </c>
      <c r="B2685" t="str">
        <f>VLOOKUP(A2685,'Area Breakdown'!$B$1:$C$33,2,)</f>
        <v>Heliopolis</v>
      </c>
      <c r="C2685" s="2">
        <v>44399</v>
      </c>
      <c r="D2685" s="3">
        <v>333.6</v>
      </c>
    </row>
    <row r="2686" spans="1:4" ht="14.7" hidden="1" thickBot="1" x14ac:dyDescent="0.6">
      <c r="A2686" s="1" t="s">
        <v>3</v>
      </c>
      <c r="B2686" t="str">
        <f>VLOOKUP(A2686,'Area Breakdown'!$B$1:$C$33,2,)</f>
        <v>Downtown</v>
      </c>
      <c r="C2686" s="2">
        <v>44399</v>
      </c>
      <c r="D2686" s="3">
        <v>326.8</v>
      </c>
    </row>
    <row r="2687" spans="1:4" ht="14.7" hidden="1" thickBot="1" x14ac:dyDescent="0.6">
      <c r="A2687" s="1" t="s">
        <v>7</v>
      </c>
      <c r="B2687" t="str">
        <f>VLOOKUP(A2687,'Area Breakdown'!$B$1:$C$33,2,)</f>
        <v>October</v>
      </c>
      <c r="C2687" s="2">
        <v>44399</v>
      </c>
      <c r="D2687" s="3">
        <v>320.40000000000003</v>
      </c>
    </row>
    <row r="2688" spans="1:4" ht="14.7" hidden="1" thickBot="1" x14ac:dyDescent="0.6">
      <c r="A2688" s="1" t="s">
        <v>11</v>
      </c>
      <c r="B2688" t="str">
        <f>VLOOKUP(A2688,'Area Breakdown'!$B$1:$C$33,2,)</f>
        <v>New Cairo</v>
      </c>
      <c r="C2688" s="2">
        <v>44399</v>
      </c>
      <c r="D2688" s="3">
        <v>280.40000000000003</v>
      </c>
    </row>
    <row r="2689" spans="1:4" ht="14.7" hidden="1" thickBot="1" x14ac:dyDescent="0.6">
      <c r="A2689" s="1" t="s">
        <v>4</v>
      </c>
      <c r="B2689" t="str">
        <f>VLOOKUP(A2689,'Area Breakdown'!$B$1:$C$33,2,)</f>
        <v>Downtown</v>
      </c>
      <c r="C2689" s="2">
        <v>44399</v>
      </c>
      <c r="D2689" s="3">
        <v>279.60000000000002</v>
      </c>
    </row>
    <row r="2690" spans="1:4" ht="14.7" hidden="1" thickBot="1" x14ac:dyDescent="0.6">
      <c r="A2690" s="1" t="s">
        <v>8</v>
      </c>
      <c r="B2690" t="str">
        <f>VLOOKUP(A2690,'Area Breakdown'!$B$1:$C$33,2,)</f>
        <v>Heliopolis</v>
      </c>
      <c r="C2690" s="2">
        <v>44399</v>
      </c>
      <c r="D2690" s="3">
        <v>142.80000000000001</v>
      </c>
    </row>
    <row r="2691" spans="1:4" ht="14.7" hidden="1" thickBot="1" x14ac:dyDescent="0.6">
      <c r="A2691" s="1" t="s">
        <v>6</v>
      </c>
      <c r="B2691" t="str">
        <f>VLOOKUP(A2691,'Area Breakdown'!$B$1:$C$33,2,)</f>
        <v xml:space="preserve">Alexandria </v>
      </c>
      <c r="C2691" s="2">
        <v>44399</v>
      </c>
      <c r="D2691" s="3">
        <v>40.400000000000006</v>
      </c>
    </row>
    <row r="2692" spans="1:4" ht="14.7" hidden="1" thickBot="1" x14ac:dyDescent="0.6">
      <c r="A2692" s="1" t="s">
        <v>22</v>
      </c>
      <c r="B2692" t="str">
        <f>VLOOKUP(A2692,'Area Breakdown'!$B$1:$C$33,2,)</f>
        <v>Heliopolis</v>
      </c>
      <c r="C2692" s="2">
        <v>44399</v>
      </c>
      <c r="D2692" s="3">
        <v>0</v>
      </c>
    </row>
    <row r="2693" spans="1:4" ht="14.7" hidden="1" thickBot="1" x14ac:dyDescent="0.6">
      <c r="A2693" s="1" t="s">
        <v>29</v>
      </c>
      <c r="B2693" t="str">
        <f>VLOOKUP(A2693,'Area Breakdown'!$B$1:$C$33,2,)</f>
        <v>Downtown</v>
      </c>
      <c r="C2693" s="2">
        <v>44399</v>
      </c>
      <c r="D2693" s="3">
        <v>0</v>
      </c>
    </row>
    <row r="2694" spans="1:4" ht="14.7" hidden="1" thickBot="1" x14ac:dyDescent="0.6">
      <c r="A2694" s="1" t="s">
        <v>21</v>
      </c>
      <c r="B2694" t="str">
        <f>VLOOKUP(A2694,'Area Breakdown'!$B$1:$C$33,2,)</f>
        <v>Heliopolis</v>
      </c>
      <c r="C2694" s="2">
        <v>44399</v>
      </c>
      <c r="D2694" s="3">
        <v>2217.6</v>
      </c>
    </row>
    <row r="2695" spans="1:4" ht="14.7" hidden="1" thickBot="1" x14ac:dyDescent="0.6">
      <c r="A2695" s="1" t="s">
        <v>0</v>
      </c>
      <c r="B2695" t="str">
        <f>VLOOKUP(A2695,'Area Breakdown'!$B$1:$C$33,2,)</f>
        <v>Downtown</v>
      </c>
      <c r="C2695" s="2">
        <v>44400</v>
      </c>
      <c r="D2695" s="3">
        <v>742.80000000000007</v>
      </c>
    </row>
    <row r="2696" spans="1:4" ht="14.7" hidden="1" thickBot="1" x14ac:dyDescent="0.6">
      <c r="A2696" s="1" t="s">
        <v>20</v>
      </c>
      <c r="B2696" t="str">
        <f>VLOOKUP(A2696,'Area Breakdown'!$B$1:$C$33,2,)</f>
        <v>Downtown</v>
      </c>
      <c r="C2696" s="2">
        <v>44400</v>
      </c>
      <c r="D2696" s="3">
        <v>740.40000000000009</v>
      </c>
    </row>
    <row r="2697" spans="1:4" ht="14.7" hidden="1" thickBot="1" x14ac:dyDescent="0.6">
      <c r="A2697" s="1" t="s">
        <v>27</v>
      </c>
      <c r="B2697" t="str">
        <f>VLOOKUP(A2697,'Area Breakdown'!$B$1:$C$33,2,)</f>
        <v xml:space="preserve">Alexandria </v>
      </c>
      <c r="C2697" s="2">
        <v>44400</v>
      </c>
      <c r="D2697" s="3">
        <v>697.6</v>
      </c>
    </row>
    <row r="2698" spans="1:4" ht="14.7" hidden="1" thickBot="1" x14ac:dyDescent="0.6">
      <c r="A2698" s="1" t="s">
        <v>12</v>
      </c>
      <c r="B2698" t="str">
        <f>VLOOKUP(A2698,'Area Breakdown'!$B$1:$C$33,2,)</f>
        <v>New Cairo</v>
      </c>
      <c r="C2698" s="2">
        <v>44400</v>
      </c>
      <c r="D2698" s="3">
        <v>659.2</v>
      </c>
    </row>
    <row r="2699" spans="1:4" ht="14.7" hidden="1" thickBot="1" x14ac:dyDescent="0.6">
      <c r="A2699" s="1" t="s">
        <v>17</v>
      </c>
      <c r="B2699" t="str">
        <f>VLOOKUP(A2699,'Area Breakdown'!$B$1:$C$33,2,)</f>
        <v>Heliopolis</v>
      </c>
      <c r="C2699" s="2">
        <v>44400</v>
      </c>
      <c r="D2699" s="3">
        <v>649.20000000000005</v>
      </c>
    </row>
    <row r="2700" spans="1:4" ht="14.7" hidden="1" thickBot="1" x14ac:dyDescent="0.6">
      <c r="A2700" s="1" t="s">
        <v>25</v>
      </c>
      <c r="B2700" t="str">
        <f>VLOOKUP(A2700,'Area Breakdown'!$B$1:$C$33,2,)</f>
        <v>October</v>
      </c>
      <c r="C2700" s="2">
        <v>44400</v>
      </c>
      <c r="D2700" s="3">
        <v>636.40000000000009</v>
      </c>
    </row>
    <row r="2701" spans="1:4" ht="14.7" hidden="1" thickBot="1" x14ac:dyDescent="0.6">
      <c r="A2701" s="1" t="s">
        <v>16</v>
      </c>
      <c r="B2701" t="str">
        <f>VLOOKUP(A2701,'Area Breakdown'!$B$1:$C$33,2,)</f>
        <v>Downtown</v>
      </c>
      <c r="C2701" s="2">
        <v>44400</v>
      </c>
      <c r="D2701" s="3">
        <v>592</v>
      </c>
    </row>
    <row r="2702" spans="1:4" ht="14.7" hidden="1" thickBot="1" x14ac:dyDescent="0.6">
      <c r="A2702" s="1" t="s">
        <v>1</v>
      </c>
      <c r="B2702" t="str">
        <f>VLOOKUP(A2702,'Area Breakdown'!$B$1:$C$33,2,)</f>
        <v>Downtown</v>
      </c>
      <c r="C2702" s="2">
        <v>44400</v>
      </c>
      <c r="D2702" s="3">
        <v>545.6</v>
      </c>
    </row>
    <row r="2703" spans="1:4" ht="14.7" hidden="1" thickBot="1" x14ac:dyDescent="0.6">
      <c r="A2703" s="1" t="s">
        <v>19</v>
      </c>
      <c r="B2703" t="str">
        <f>VLOOKUP(A2703,'Area Breakdown'!$B$1:$C$33,2,)</f>
        <v>Downtown</v>
      </c>
      <c r="C2703" s="2">
        <v>44400</v>
      </c>
      <c r="D2703" s="3">
        <v>524.80000000000007</v>
      </c>
    </row>
    <row r="2704" spans="1:4" ht="14.7" hidden="1" thickBot="1" x14ac:dyDescent="0.6">
      <c r="A2704" s="1" t="s">
        <v>13</v>
      </c>
      <c r="B2704" t="str">
        <f>VLOOKUP(A2704,'Area Breakdown'!$B$1:$C$33,2,)</f>
        <v>Heliopolis</v>
      </c>
      <c r="C2704" s="2">
        <v>44400</v>
      </c>
      <c r="D2704" s="3">
        <v>475.6</v>
      </c>
    </row>
    <row r="2705" spans="1:4" ht="14.7" hidden="1" thickBot="1" x14ac:dyDescent="0.6">
      <c r="A2705" s="1" t="s">
        <v>9</v>
      </c>
      <c r="B2705" t="str">
        <f>VLOOKUP(A2705,'Area Breakdown'!$B$1:$C$33,2,)</f>
        <v xml:space="preserve">Alexandria </v>
      </c>
      <c r="C2705" s="2">
        <v>44400</v>
      </c>
      <c r="D2705" s="3">
        <v>469.6</v>
      </c>
    </row>
    <row r="2706" spans="1:4" ht="14.7" hidden="1" thickBot="1" x14ac:dyDescent="0.6">
      <c r="A2706" s="1" t="s">
        <v>30</v>
      </c>
      <c r="B2706" t="str">
        <f>VLOOKUP(A2706,'Area Breakdown'!$B$1:$C$33,2,)</f>
        <v>October</v>
      </c>
      <c r="C2706" s="2">
        <v>44400</v>
      </c>
      <c r="D2706" s="3">
        <v>464.8</v>
      </c>
    </row>
    <row r="2707" spans="1:4" ht="14.7" hidden="1" thickBot="1" x14ac:dyDescent="0.6">
      <c r="A2707" s="1" t="s">
        <v>15</v>
      </c>
      <c r="B2707" t="str">
        <f>VLOOKUP(A2707,'Area Breakdown'!$B$1:$C$33,2,)</f>
        <v>Heliopolis</v>
      </c>
      <c r="C2707" s="2">
        <v>44400</v>
      </c>
      <c r="D2707" s="3">
        <v>444.40000000000003</v>
      </c>
    </row>
    <row r="2708" spans="1:4" ht="14.7" hidden="1" thickBot="1" x14ac:dyDescent="0.6">
      <c r="A2708" s="1" t="s">
        <v>10</v>
      </c>
      <c r="B2708" t="str">
        <f>VLOOKUP(A2708,'Area Breakdown'!$B$1:$C$33,2,)</f>
        <v xml:space="preserve">Alexandria </v>
      </c>
      <c r="C2708" s="2">
        <v>44400</v>
      </c>
      <c r="D2708" s="3">
        <v>345.6</v>
      </c>
    </row>
    <row r="2709" spans="1:4" ht="14.7" hidden="1" thickBot="1" x14ac:dyDescent="0.6">
      <c r="A2709" s="1" t="s">
        <v>2</v>
      </c>
      <c r="B2709" t="str">
        <f>VLOOKUP(A2709,'Area Breakdown'!$B$1:$C$33,2,)</f>
        <v>Downtown</v>
      </c>
      <c r="C2709" s="2">
        <v>44400</v>
      </c>
      <c r="D2709" s="3">
        <v>337.6</v>
      </c>
    </row>
    <row r="2710" spans="1:4" ht="14.7" hidden="1" thickBot="1" x14ac:dyDescent="0.6">
      <c r="A2710" s="1" t="s">
        <v>8</v>
      </c>
      <c r="B2710" t="str">
        <f>VLOOKUP(A2710,'Area Breakdown'!$B$1:$C$33,2,)</f>
        <v>Heliopolis</v>
      </c>
      <c r="C2710" s="2">
        <v>44400</v>
      </c>
      <c r="D2710" s="3">
        <v>317.60000000000002</v>
      </c>
    </row>
    <row r="2711" spans="1:4" ht="14.7" hidden="1" thickBot="1" x14ac:dyDescent="0.6">
      <c r="A2711" s="1" t="s">
        <v>24</v>
      </c>
      <c r="B2711" t="str">
        <f>VLOOKUP(A2711,'Area Breakdown'!$B$1:$C$33,2,)</f>
        <v>October</v>
      </c>
      <c r="C2711" s="2">
        <v>44400</v>
      </c>
      <c r="D2711" s="3">
        <v>294.40000000000003</v>
      </c>
    </row>
    <row r="2712" spans="1:4" ht="14.7" hidden="1" thickBot="1" x14ac:dyDescent="0.6">
      <c r="A2712" s="1" t="s">
        <v>3</v>
      </c>
      <c r="B2712" t="str">
        <f>VLOOKUP(A2712,'Area Breakdown'!$B$1:$C$33,2,)</f>
        <v>Downtown</v>
      </c>
      <c r="C2712" s="2">
        <v>44400</v>
      </c>
      <c r="D2712" s="3">
        <v>208.8</v>
      </c>
    </row>
    <row r="2713" spans="1:4" ht="14.7" hidden="1" thickBot="1" x14ac:dyDescent="0.6">
      <c r="A2713" s="1" t="s">
        <v>23</v>
      </c>
      <c r="B2713" t="str">
        <f>VLOOKUP(A2713,'Area Breakdown'!$B$1:$C$33,2,)</f>
        <v>Heliopolis</v>
      </c>
      <c r="C2713" s="2">
        <v>44400</v>
      </c>
      <c r="D2713" s="3">
        <v>205.60000000000002</v>
      </c>
    </row>
    <row r="2714" spans="1:4" ht="14.7" hidden="1" thickBot="1" x14ac:dyDescent="0.6">
      <c r="A2714" s="1" t="s">
        <v>11</v>
      </c>
      <c r="B2714" t="str">
        <f>VLOOKUP(A2714,'Area Breakdown'!$B$1:$C$33,2,)</f>
        <v>New Cairo</v>
      </c>
      <c r="C2714" s="2">
        <v>44400</v>
      </c>
      <c r="D2714" s="3">
        <v>181.60000000000002</v>
      </c>
    </row>
    <row r="2715" spans="1:4" ht="14.7" hidden="1" thickBot="1" x14ac:dyDescent="0.6">
      <c r="A2715" s="1" t="s">
        <v>6</v>
      </c>
      <c r="B2715" t="str">
        <f>VLOOKUP(A2715,'Area Breakdown'!$B$1:$C$33,2,)</f>
        <v xml:space="preserve">Alexandria </v>
      </c>
      <c r="C2715" s="2">
        <v>44400</v>
      </c>
      <c r="D2715" s="3">
        <v>178.4</v>
      </c>
    </row>
    <row r="2716" spans="1:4" ht="14.7" hidden="1" thickBot="1" x14ac:dyDescent="0.6">
      <c r="A2716" s="1" t="s">
        <v>4</v>
      </c>
      <c r="B2716" t="str">
        <f>VLOOKUP(A2716,'Area Breakdown'!$B$1:$C$33,2,)</f>
        <v>Downtown</v>
      </c>
      <c r="C2716" s="2">
        <v>44400</v>
      </c>
      <c r="D2716" s="3">
        <v>137.20000000000002</v>
      </c>
    </row>
    <row r="2717" spans="1:4" ht="14.7" hidden="1" thickBot="1" x14ac:dyDescent="0.6">
      <c r="A2717" s="1" t="s">
        <v>7</v>
      </c>
      <c r="B2717" t="str">
        <f>VLOOKUP(A2717,'Area Breakdown'!$B$1:$C$33,2,)</f>
        <v>October</v>
      </c>
      <c r="C2717" s="2">
        <v>44400</v>
      </c>
      <c r="D2717" s="3">
        <v>44</v>
      </c>
    </row>
    <row r="2718" spans="1:4" ht="14.7" hidden="1" thickBot="1" x14ac:dyDescent="0.6">
      <c r="A2718" s="1" t="s">
        <v>22</v>
      </c>
      <c r="B2718" t="str">
        <f>VLOOKUP(A2718,'Area Breakdown'!$B$1:$C$33,2,)</f>
        <v>Heliopolis</v>
      </c>
      <c r="C2718" s="2">
        <v>44400</v>
      </c>
      <c r="D2718" s="3">
        <v>0</v>
      </c>
    </row>
    <row r="2719" spans="1:4" ht="14.7" hidden="1" thickBot="1" x14ac:dyDescent="0.6">
      <c r="A2719" s="1" t="s">
        <v>29</v>
      </c>
      <c r="B2719" t="str">
        <f>VLOOKUP(A2719,'Area Breakdown'!$B$1:$C$33,2,)</f>
        <v>Downtown</v>
      </c>
      <c r="C2719" s="2">
        <v>44400</v>
      </c>
      <c r="D2719" s="3">
        <v>0</v>
      </c>
    </row>
    <row r="2720" spans="1:4" ht="14.7" hidden="1" thickBot="1" x14ac:dyDescent="0.6">
      <c r="A2720" s="1" t="s">
        <v>21</v>
      </c>
      <c r="B2720" t="str">
        <f>VLOOKUP(A2720,'Area Breakdown'!$B$1:$C$33,2,)</f>
        <v>Heliopolis</v>
      </c>
      <c r="C2720" s="2">
        <v>44400</v>
      </c>
      <c r="D2720" s="3">
        <v>1831.2</v>
      </c>
    </row>
    <row r="2721" spans="1:4" ht="14.7" hidden="1" thickBot="1" x14ac:dyDescent="0.6">
      <c r="A2721" s="1" t="s">
        <v>21</v>
      </c>
      <c r="B2721" t="str">
        <f>VLOOKUP(A2721,'Area Breakdown'!$B$1:$C$33,2,)</f>
        <v>Heliopolis</v>
      </c>
      <c r="C2721" s="2">
        <v>44401</v>
      </c>
      <c r="D2721" s="3">
        <v>1198.4000000000001</v>
      </c>
    </row>
    <row r="2722" spans="1:4" ht="14.7" hidden="1" thickBot="1" x14ac:dyDescent="0.6">
      <c r="A2722" s="1" t="s">
        <v>24</v>
      </c>
      <c r="B2722" t="str">
        <f>VLOOKUP(A2722,'Area Breakdown'!$B$1:$C$33,2,)</f>
        <v>October</v>
      </c>
      <c r="C2722" s="2">
        <v>44401</v>
      </c>
      <c r="D2722" s="3">
        <v>1072.8</v>
      </c>
    </row>
    <row r="2723" spans="1:4" ht="14.7" hidden="1" thickBot="1" x14ac:dyDescent="0.6">
      <c r="A2723" s="1" t="s">
        <v>25</v>
      </c>
      <c r="B2723" t="str">
        <f>VLOOKUP(A2723,'Area Breakdown'!$B$1:$C$33,2,)</f>
        <v>October</v>
      </c>
      <c r="C2723" s="2">
        <v>44401</v>
      </c>
      <c r="D2723" s="3">
        <v>981.6</v>
      </c>
    </row>
    <row r="2724" spans="1:4" ht="14.7" hidden="1" thickBot="1" x14ac:dyDescent="0.6">
      <c r="A2724" s="1" t="s">
        <v>27</v>
      </c>
      <c r="B2724" t="str">
        <f>VLOOKUP(A2724,'Area Breakdown'!$B$1:$C$33,2,)</f>
        <v xml:space="preserve">Alexandria </v>
      </c>
      <c r="C2724" s="2">
        <v>44401</v>
      </c>
      <c r="D2724" s="3">
        <v>878</v>
      </c>
    </row>
    <row r="2725" spans="1:4" ht="14.7" hidden="1" thickBot="1" x14ac:dyDescent="0.6">
      <c r="A2725" s="1" t="s">
        <v>9</v>
      </c>
      <c r="B2725" t="str">
        <f>VLOOKUP(A2725,'Area Breakdown'!$B$1:$C$33,2,)</f>
        <v xml:space="preserve">Alexandria </v>
      </c>
      <c r="C2725" s="2">
        <v>44401</v>
      </c>
      <c r="D2725" s="3">
        <v>793.2</v>
      </c>
    </row>
    <row r="2726" spans="1:4" ht="14.7" hidden="1" thickBot="1" x14ac:dyDescent="0.6">
      <c r="A2726" s="1" t="s">
        <v>19</v>
      </c>
      <c r="B2726" t="str">
        <f>VLOOKUP(A2726,'Area Breakdown'!$B$1:$C$33,2,)</f>
        <v>Downtown</v>
      </c>
      <c r="C2726" s="2">
        <v>44401</v>
      </c>
      <c r="D2726" s="3">
        <v>722.80000000000007</v>
      </c>
    </row>
    <row r="2727" spans="1:4" ht="14.7" hidden="1" thickBot="1" x14ac:dyDescent="0.6">
      <c r="A2727" s="1" t="s">
        <v>16</v>
      </c>
      <c r="B2727" t="str">
        <f>VLOOKUP(A2727,'Area Breakdown'!$B$1:$C$33,2,)</f>
        <v>Downtown</v>
      </c>
      <c r="C2727" s="2">
        <v>44401</v>
      </c>
      <c r="D2727" s="3">
        <v>648</v>
      </c>
    </row>
    <row r="2728" spans="1:4" ht="14.7" hidden="1" thickBot="1" x14ac:dyDescent="0.6">
      <c r="A2728" s="1" t="s">
        <v>10</v>
      </c>
      <c r="B2728" t="str">
        <f>VLOOKUP(A2728,'Area Breakdown'!$B$1:$C$33,2,)</f>
        <v xml:space="preserve">Alexandria </v>
      </c>
      <c r="C2728" s="2">
        <v>44401</v>
      </c>
      <c r="D2728" s="3">
        <v>622</v>
      </c>
    </row>
    <row r="2729" spans="1:4" ht="14.7" hidden="1" thickBot="1" x14ac:dyDescent="0.6">
      <c r="A2729" s="1" t="s">
        <v>12</v>
      </c>
      <c r="B2729" t="str">
        <f>VLOOKUP(A2729,'Area Breakdown'!$B$1:$C$33,2,)</f>
        <v>New Cairo</v>
      </c>
      <c r="C2729" s="2">
        <v>44401</v>
      </c>
      <c r="D2729" s="3">
        <v>562.80000000000007</v>
      </c>
    </row>
    <row r="2730" spans="1:4" ht="14.7" hidden="1" thickBot="1" x14ac:dyDescent="0.6">
      <c r="A2730" s="1" t="s">
        <v>17</v>
      </c>
      <c r="B2730" t="str">
        <f>VLOOKUP(A2730,'Area Breakdown'!$B$1:$C$33,2,)</f>
        <v>Heliopolis</v>
      </c>
      <c r="C2730" s="2">
        <v>44401</v>
      </c>
      <c r="D2730" s="3">
        <v>558.4</v>
      </c>
    </row>
    <row r="2731" spans="1:4" ht="14.7" hidden="1" thickBot="1" x14ac:dyDescent="0.6">
      <c r="A2731" s="1" t="s">
        <v>20</v>
      </c>
      <c r="B2731" t="str">
        <f>VLOOKUP(A2731,'Area Breakdown'!$B$1:$C$33,2,)</f>
        <v>Downtown</v>
      </c>
      <c r="C2731" s="2">
        <v>44401</v>
      </c>
      <c r="D2731" s="3">
        <v>538</v>
      </c>
    </row>
    <row r="2732" spans="1:4" ht="14.7" hidden="1" thickBot="1" x14ac:dyDescent="0.6">
      <c r="A2732" s="1" t="s">
        <v>13</v>
      </c>
      <c r="B2732" t="str">
        <f>VLOOKUP(A2732,'Area Breakdown'!$B$1:$C$33,2,)</f>
        <v>Heliopolis</v>
      </c>
      <c r="C2732" s="2">
        <v>44401</v>
      </c>
      <c r="D2732" s="3">
        <v>525.6</v>
      </c>
    </row>
    <row r="2733" spans="1:4" ht="14.7" hidden="1" thickBot="1" x14ac:dyDescent="0.6">
      <c r="A2733" s="1" t="s">
        <v>2</v>
      </c>
      <c r="B2733" t="str">
        <f>VLOOKUP(A2733,'Area Breakdown'!$B$1:$C$33,2,)</f>
        <v>Downtown</v>
      </c>
      <c r="C2733" s="2">
        <v>44401</v>
      </c>
      <c r="D2733" s="3">
        <v>508.8</v>
      </c>
    </row>
    <row r="2734" spans="1:4" ht="14.7" hidden="1" thickBot="1" x14ac:dyDescent="0.6">
      <c r="A2734" s="1" t="s">
        <v>15</v>
      </c>
      <c r="B2734" t="str">
        <f>VLOOKUP(A2734,'Area Breakdown'!$B$1:$C$33,2,)</f>
        <v>Heliopolis</v>
      </c>
      <c r="C2734" s="2">
        <v>44401</v>
      </c>
      <c r="D2734" s="3">
        <v>486</v>
      </c>
    </row>
    <row r="2735" spans="1:4" ht="14.7" hidden="1" thickBot="1" x14ac:dyDescent="0.6">
      <c r="A2735" s="1" t="s">
        <v>3</v>
      </c>
      <c r="B2735" t="str">
        <f>VLOOKUP(A2735,'Area Breakdown'!$B$1:$C$33,2,)</f>
        <v>Downtown</v>
      </c>
      <c r="C2735" s="2">
        <v>44401</v>
      </c>
      <c r="D2735" s="3">
        <v>452.8</v>
      </c>
    </row>
    <row r="2736" spans="1:4" ht="14.7" hidden="1" thickBot="1" x14ac:dyDescent="0.6">
      <c r="A2736" s="1" t="s">
        <v>0</v>
      </c>
      <c r="B2736" t="str">
        <f>VLOOKUP(A2736,'Area Breakdown'!$B$1:$C$33,2,)</f>
        <v>Downtown</v>
      </c>
      <c r="C2736" s="2">
        <v>44401</v>
      </c>
      <c r="D2736" s="3">
        <v>444.40000000000003</v>
      </c>
    </row>
    <row r="2737" spans="1:4" ht="14.7" hidden="1" thickBot="1" x14ac:dyDescent="0.6">
      <c r="A2737" s="1" t="s">
        <v>1</v>
      </c>
      <c r="B2737" t="str">
        <f>VLOOKUP(A2737,'Area Breakdown'!$B$1:$C$33,2,)</f>
        <v>Downtown</v>
      </c>
      <c r="C2737" s="2">
        <v>44401</v>
      </c>
      <c r="D2737" s="3">
        <v>432.8</v>
      </c>
    </row>
    <row r="2738" spans="1:4" ht="14.7" hidden="1" thickBot="1" x14ac:dyDescent="0.6">
      <c r="A2738" s="1" t="s">
        <v>4</v>
      </c>
      <c r="B2738" t="str">
        <f>VLOOKUP(A2738,'Area Breakdown'!$B$1:$C$33,2,)</f>
        <v>Downtown</v>
      </c>
      <c r="C2738" s="2">
        <v>44401</v>
      </c>
      <c r="D2738" s="3">
        <v>265.60000000000002</v>
      </c>
    </row>
    <row r="2739" spans="1:4" ht="14.7" hidden="1" thickBot="1" x14ac:dyDescent="0.6">
      <c r="A2739" s="1" t="s">
        <v>23</v>
      </c>
      <c r="B2739" t="str">
        <f>VLOOKUP(A2739,'Area Breakdown'!$B$1:$C$33,2,)</f>
        <v>Heliopolis</v>
      </c>
      <c r="C2739" s="2">
        <v>44401</v>
      </c>
      <c r="D2739" s="3">
        <v>222.8</v>
      </c>
    </row>
    <row r="2740" spans="1:4" ht="14.7" hidden="1" thickBot="1" x14ac:dyDescent="0.6">
      <c r="A2740" s="1" t="s">
        <v>30</v>
      </c>
      <c r="B2740" t="str">
        <f>VLOOKUP(A2740,'Area Breakdown'!$B$1:$C$33,2,)</f>
        <v>October</v>
      </c>
      <c r="C2740" s="2">
        <v>44401</v>
      </c>
      <c r="D2740" s="3">
        <v>222.8</v>
      </c>
    </row>
    <row r="2741" spans="1:4" ht="14.7" hidden="1" thickBot="1" x14ac:dyDescent="0.6">
      <c r="A2741" s="1" t="s">
        <v>6</v>
      </c>
      <c r="B2741" t="str">
        <f>VLOOKUP(A2741,'Area Breakdown'!$B$1:$C$33,2,)</f>
        <v xml:space="preserve">Alexandria </v>
      </c>
      <c r="C2741" s="2">
        <v>44401</v>
      </c>
      <c r="D2741" s="3">
        <v>168.8</v>
      </c>
    </row>
    <row r="2742" spans="1:4" ht="14.7" hidden="1" thickBot="1" x14ac:dyDescent="0.6">
      <c r="A2742" s="1" t="s">
        <v>7</v>
      </c>
      <c r="B2742" t="str">
        <f>VLOOKUP(A2742,'Area Breakdown'!$B$1:$C$33,2,)</f>
        <v>October</v>
      </c>
      <c r="C2742" s="2">
        <v>44401</v>
      </c>
      <c r="D2742" s="3">
        <v>150</v>
      </c>
    </row>
    <row r="2743" spans="1:4" ht="14.7" hidden="1" thickBot="1" x14ac:dyDescent="0.6">
      <c r="A2743" s="1" t="s">
        <v>8</v>
      </c>
      <c r="B2743" t="str">
        <f>VLOOKUP(A2743,'Area Breakdown'!$B$1:$C$33,2,)</f>
        <v>Heliopolis</v>
      </c>
      <c r="C2743" s="2">
        <v>44401</v>
      </c>
      <c r="D2743" s="3">
        <v>102</v>
      </c>
    </row>
    <row r="2744" spans="1:4" ht="14.7" hidden="1" thickBot="1" x14ac:dyDescent="0.6">
      <c r="A2744" s="1" t="s">
        <v>11</v>
      </c>
      <c r="B2744" t="str">
        <f>VLOOKUP(A2744,'Area Breakdown'!$B$1:$C$33,2,)</f>
        <v>New Cairo</v>
      </c>
      <c r="C2744" s="2">
        <v>44401</v>
      </c>
      <c r="D2744" s="3">
        <v>90</v>
      </c>
    </row>
    <row r="2745" spans="1:4" ht="14.7" hidden="1" thickBot="1" x14ac:dyDescent="0.6">
      <c r="A2745" s="1" t="s">
        <v>22</v>
      </c>
      <c r="B2745" t="str">
        <f>VLOOKUP(A2745,'Area Breakdown'!$B$1:$C$33,2,)</f>
        <v>Heliopolis</v>
      </c>
      <c r="C2745" s="2">
        <v>44401</v>
      </c>
      <c r="D2745" s="3">
        <v>0</v>
      </c>
    </row>
    <row r="2746" spans="1:4" ht="14.7" hidden="1" thickBot="1" x14ac:dyDescent="0.6">
      <c r="A2746" s="1" t="s">
        <v>29</v>
      </c>
      <c r="B2746" t="str">
        <f>VLOOKUP(A2746,'Area Breakdown'!$B$1:$C$33,2,)</f>
        <v>Downtown</v>
      </c>
      <c r="C2746" s="2">
        <v>44401</v>
      </c>
      <c r="D2746" s="3">
        <v>0</v>
      </c>
    </row>
    <row r="2747" spans="1:4" ht="14.7" hidden="1" thickBot="1" x14ac:dyDescent="0.6">
      <c r="A2747" s="1" t="s">
        <v>24</v>
      </c>
      <c r="B2747" t="str">
        <f>VLOOKUP(A2747,'Area Breakdown'!$B$1:$C$33,2,)</f>
        <v>October</v>
      </c>
      <c r="C2747" s="2">
        <v>44402</v>
      </c>
      <c r="D2747" s="3">
        <v>1143.2</v>
      </c>
    </row>
    <row r="2748" spans="1:4" ht="14.7" hidden="1" thickBot="1" x14ac:dyDescent="0.6">
      <c r="A2748" s="1" t="s">
        <v>0</v>
      </c>
      <c r="B2748" t="str">
        <f>VLOOKUP(A2748,'Area Breakdown'!$B$1:$C$33,2,)</f>
        <v>Downtown</v>
      </c>
      <c r="C2748" s="2">
        <v>44402</v>
      </c>
      <c r="D2748" s="3">
        <v>1133.6000000000001</v>
      </c>
    </row>
    <row r="2749" spans="1:4" ht="14.7" hidden="1" thickBot="1" x14ac:dyDescent="0.6">
      <c r="A2749" s="1" t="s">
        <v>21</v>
      </c>
      <c r="B2749" t="str">
        <f>VLOOKUP(A2749,'Area Breakdown'!$B$1:$C$33,2,)</f>
        <v>Heliopolis</v>
      </c>
      <c r="C2749" s="2">
        <v>44402</v>
      </c>
      <c r="D2749" s="3">
        <v>987.6</v>
      </c>
    </row>
    <row r="2750" spans="1:4" ht="14.7" hidden="1" thickBot="1" x14ac:dyDescent="0.6">
      <c r="A2750" s="1" t="s">
        <v>1</v>
      </c>
      <c r="B2750" t="str">
        <f>VLOOKUP(A2750,'Area Breakdown'!$B$1:$C$33,2,)</f>
        <v>Downtown</v>
      </c>
      <c r="C2750" s="2">
        <v>44402</v>
      </c>
      <c r="D2750" s="3">
        <v>978.40000000000009</v>
      </c>
    </row>
    <row r="2751" spans="1:4" ht="14.7" hidden="1" thickBot="1" x14ac:dyDescent="0.6">
      <c r="A2751" s="1" t="s">
        <v>27</v>
      </c>
      <c r="B2751" t="str">
        <f>VLOOKUP(A2751,'Area Breakdown'!$B$1:$C$33,2,)</f>
        <v xml:space="preserve">Alexandria </v>
      </c>
      <c r="C2751" s="2">
        <v>44402</v>
      </c>
      <c r="D2751" s="3">
        <v>932.80000000000007</v>
      </c>
    </row>
    <row r="2752" spans="1:4" ht="14.7" hidden="1" thickBot="1" x14ac:dyDescent="0.6">
      <c r="A2752" s="1" t="s">
        <v>12</v>
      </c>
      <c r="B2752" t="str">
        <f>VLOOKUP(A2752,'Area Breakdown'!$B$1:$C$33,2,)</f>
        <v>New Cairo</v>
      </c>
      <c r="C2752" s="2">
        <v>44402</v>
      </c>
      <c r="D2752" s="3">
        <v>821.6</v>
      </c>
    </row>
    <row r="2753" spans="1:4" ht="14.7" hidden="1" thickBot="1" x14ac:dyDescent="0.6">
      <c r="A2753" s="1" t="s">
        <v>30</v>
      </c>
      <c r="B2753" t="str">
        <f>VLOOKUP(A2753,'Area Breakdown'!$B$1:$C$33,2,)</f>
        <v>October</v>
      </c>
      <c r="C2753" s="2">
        <v>44402</v>
      </c>
      <c r="D2753" s="3">
        <v>796.40000000000009</v>
      </c>
    </row>
    <row r="2754" spans="1:4" ht="14.7" hidden="1" thickBot="1" x14ac:dyDescent="0.6">
      <c r="A2754" s="1" t="s">
        <v>2</v>
      </c>
      <c r="B2754" t="str">
        <f>VLOOKUP(A2754,'Area Breakdown'!$B$1:$C$33,2,)</f>
        <v>Downtown</v>
      </c>
      <c r="C2754" s="2">
        <v>44402</v>
      </c>
      <c r="D2754" s="3">
        <v>796</v>
      </c>
    </row>
    <row r="2755" spans="1:4" ht="14.7" hidden="1" thickBot="1" x14ac:dyDescent="0.6">
      <c r="A2755" s="1" t="s">
        <v>3</v>
      </c>
      <c r="B2755" t="str">
        <f>VLOOKUP(A2755,'Area Breakdown'!$B$1:$C$33,2,)</f>
        <v>Downtown</v>
      </c>
      <c r="C2755" s="2">
        <v>44402</v>
      </c>
      <c r="D2755" s="3">
        <v>686</v>
      </c>
    </row>
    <row r="2756" spans="1:4" ht="14.7" hidden="1" thickBot="1" x14ac:dyDescent="0.6">
      <c r="A2756" s="1" t="s">
        <v>13</v>
      </c>
      <c r="B2756" t="str">
        <f>VLOOKUP(A2756,'Area Breakdown'!$B$1:$C$33,2,)</f>
        <v>Heliopolis</v>
      </c>
      <c r="C2756" s="2">
        <v>44402</v>
      </c>
      <c r="D2756" s="3">
        <v>670</v>
      </c>
    </row>
    <row r="2757" spans="1:4" ht="14.7" hidden="1" thickBot="1" x14ac:dyDescent="0.6">
      <c r="A2757" s="1" t="s">
        <v>15</v>
      </c>
      <c r="B2757" t="str">
        <f>VLOOKUP(A2757,'Area Breakdown'!$B$1:$C$33,2,)</f>
        <v>Heliopolis</v>
      </c>
      <c r="C2757" s="2">
        <v>44402</v>
      </c>
      <c r="D2757" s="3">
        <v>572</v>
      </c>
    </row>
    <row r="2758" spans="1:4" ht="14.7" hidden="1" thickBot="1" x14ac:dyDescent="0.6">
      <c r="A2758" s="1" t="s">
        <v>9</v>
      </c>
      <c r="B2758" t="str">
        <f>VLOOKUP(A2758,'Area Breakdown'!$B$1:$C$33,2,)</f>
        <v xml:space="preserve">Alexandria </v>
      </c>
      <c r="C2758" s="2">
        <v>44402</v>
      </c>
      <c r="D2758" s="3">
        <v>532.4</v>
      </c>
    </row>
    <row r="2759" spans="1:4" ht="14.7" hidden="1" thickBot="1" x14ac:dyDescent="0.6">
      <c r="A2759" s="1" t="s">
        <v>17</v>
      </c>
      <c r="B2759" t="str">
        <f>VLOOKUP(A2759,'Area Breakdown'!$B$1:$C$33,2,)</f>
        <v>Heliopolis</v>
      </c>
      <c r="C2759" s="2">
        <v>44402</v>
      </c>
      <c r="D2759" s="3">
        <v>531.6</v>
      </c>
    </row>
    <row r="2760" spans="1:4" ht="14.7" hidden="1" thickBot="1" x14ac:dyDescent="0.6">
      <c r="A2760" s="1" t="s">
        <v>8</v>
      </c>
      <c r="B2760" t="str">
        <f>VLOOKUP(A2760,'Area Breakdown'!$B$1:$C$33,2,)</f>
        <v>Heliopolis</v>
      </c>
      <c r="C2760" s="2">
        <v>44402</v>
      </c>
      <c r="D2760" s="3">
        <v>518.4</v>
      </c>
    </row>
    <row r="2761" spans="1:4" ht="14.7" hidden="1" thickBot="1" x14ac:dyDescent="0.6">
      <c r="A2761" s="1" t="s">
        <v>10</v>
      </c>
      <c r="B2761" t="str">
        <f>VLOOKUP(A2761,'Area Breakdown'!$B$1:$C$33,2,)</f>
        <v xml:space="preserve">Alexandria </v>
      </c>
      <c r="C2761" s="2">
        <v>44402</v>
      </c>
      <c r="D2761" s="3">
        <v>464.8</v>
      </c>
    </row>
    <row r="2762" spans="1:4" ht="14.7" hidden="1" thickBot="1" x14ac:dyDescent="0.6">
      <c r="A2762" s="1" t="s">
        <v>23</v>
      </c>
      <c r="B2762" t="str">
        <f>VLOOKUP(A2762,'Area Breakdown'!$B$1:$C$33,2,)</f>
        <v>Heliopolis</v>
      </c>
      <c r="C2762" s="2">
        <v>44402</v>
      </c>
      <c r="D2762" s="3">
        <v>460.8</v>
      </c>
    </row>
    <row r="2763" spans="1:4" ht="14.7" hidden="1" thickBot="1" x14ac:dyDescent="0.6">
      <c r="A2763" s="1" t="s">
        <v>25</v>
      </c>
      <c r="B2763" t="str">
        <f>VLOOKUP(A2763,'Area Breakdown'!$B$1:$C$33,2,)</f>
        <v>October</v>
      </c>
      <c r="C2763" s="2">
        <v>44402</v>
      </c>
      <c r="D2763" s="3">
        <v>413.20000000000005</v>
      </c>
    </row>
    <row r="2764" spans="1:4" ht="14.7" hidden="1" thickBot="1" x14ac:dyDescent="0.6">
      <c r="A2764" s="1" t="s">
        <v>11</v>
      </c>
      <c r="B2764" t="str">
        <f>VLOOKUP(A2764,'Area Breakdown'!$B$1:$C$33,2,)</f>
        <v>New Cairo</v>
      </c>
      <c r="C2764" s="2">
        <v>44402</v>
      </c>
      <c r="D2764" s="3">
        <v>408.8</v>
      </c>
    </row>
    <row r="2765" spans="1:4" ht="14.7" hidden="1" thickBot="1" x14ac:dyDescent="0.6">
      <c r="A2765" s="1" t="s">
        <v>4</v>
      </c>
      <c r="B2765" t="str">
        <f>VLOOKUP(A2765,'Area Breakdown'!$B$1:$C$33,2,)</f>
        <v>Downtown</v>
      </c>
      <c r="C2765" s="2">
        <v>44402</v>
      </c>
      <c r="D2765" s="3">
        <v>397.6</v>
      </c>
    </row>
    <row r="2766" spans="1:4" ht="14.7" hidden="1" thickBot="1" x14ac:dyDescent="0.6">
      <c r="A2766" s="1" t="s">
        <v>16</v>
      </c>
      <c r="B2766" t="str">
        <f>VLOOKUP(A2766,'Area Breakdown'!$B$1:$C$33,2,)</f>
        <v>Downtown</v>
      </c>
      <c r="C2766" s="2">
        <v>44402</v>
      </c>
      <c r="D2766" s="3">
        <v>378.40000000000003</v>
      </c>
    </row>
    <row r="2767" spans="1:4" ht="14.7" hidden="1" thickBot="1" x14ac:dyDescent="0.6">
      <c r="A2767" s="1" t="s">
        <v>7</v>
      </c>
      <c r="B2767" t="str">
        <f>VLOOKUP(A2767,'Area Breakdown'!$B$1:$C$33,2,)</f>
        <v>October</v>
      </c>
      <c r="C2767" s="2">
        <v>44402</v>
      </c>
      <c r="D2767" s="3">
        <v>174</v>
      </c>
    </row>
    <row r="2768" spans="1:4" ht="14.7" hidden="1" thickBot="1" x14ac:dyDescent="0.6">
      <c r="A2768" s="1" t="s">
        <v>29</v>
      </c>
      <c r="B2768" t="str">
        <f>VLOOKUP(A2768,'Area Breakdown'!$B$1:$C$33,2,)</f>
        <v>Downtown</v>
      </c>
      <c r="C2768" s="2">
        <v>44402</v>
      </c>
      <c r="D2768" s="3">
        <v>164.8</v>
      </c>
    </row>
    <row r="2769" spans="1:4" ht="14.7" hidden="1" thickBot="1" x14ac:dyDescent="0.6">
      <c r="A2769" s="1" t="s">
        <v>6</v>
      </c>
      <c r="B2769" t="str">
        <f>VLOOKUP(A2769,'Area Breakdown'!$B$1:$C$33,2,)</f>
        <v xml:space="preserve">Alexandria </v>
      </c>
      <c r="C2769" s="2">
        <v>44402</v>
      </c>
      <c r="D2769" s="3">
        <v>55.6</v>
      </c>
    </row>
    <row r="2770" spans="1:4" ht="14.7" hidden="1" thickBot="1" x14ac:dyDescent="0.6">
      <c r="A2770" s="1" t="s">
        <v>22</v>
      </c>
      <c r="B2770" t="str">
        <f>VLOOKUP(A2770,'Area Breakdown'!$B$1:$C$33,2,)</f>
        <v>Heliopolis</v>
      </c>
      <c r="C2770" s="2">
        <v>44402</v>
      </c>
      <c r="D2770" s="3">
        <v>0</v>
      </c>
    </row>
    <row r="2771" spans="1:4" ht="14.7" hidden="1" thickBot="1" x14ac:dyDescent="0.6">
      <c r="A2771" s="1" t="s">
        <v>19</v>
      </c>
      <c r="B2771" t="str">
        <f>VLOOKUP(A2771,'Area Breakdown'!$B$1:$C$33,2,)</f>
        <v>Downtown</v>
      </c>
      <c r="C2771" s="2">
        <v>44402</v>
      </c>
      <c r="D2771" s="3">
        <v>2083.2000000000003</v>
      </c>
    </row>
    <row r="2772" spans="1:4" ht="14.7" hidden="1" thickBot="1" x14ac:dyDescent="0.6">
      <c r="A2772" s="1" t="s">
        <v>20</v>
      </c>
      <c r="B2772" t="str">
        <f>VLOOKUP(A2772,'Area Breakdown'!$B$1:$C$33,2,)</f>
        <v>Downtown</v>
      </c>
      <c r="C2772" s="2">
        <v>44402</v>
      </c>
      <c r="D2772" s="3">
        <v>1342.4</v>
      </c>
    </row>
    <row r="2773" spans="1:4" ht="14.7" hidden="1" thickBot="1" x14ac:dyDescent="0.6">
      <c r="A2773" s="1" t="s">
        <v>1</v>
      </c>
      <c r="B2773" t="str">
        <f>VLOOKUP(A2773,'Area Breakdown'!$B$1:$C$33,2,)</f>
        <v>Downtown</v>
      </c>
      <c r="C2773" s="2">
        <v>44403</v>
      </c>
      <c r="D2773" s="3">
        <v>1568.4</v>
      </c>
    </row>
    <row r="2774" spans="1:4" ht="14.7" hidden="1" thickBot="1" x14ac:dyDescent="0.6">
      <c r="A2774" s="1" t="s">
        <v>0</v>
      </c>
      <c r="B2774" t="str">
        <f>VLOOKUP(A2774,'Area Breakdown'!$B$1:$C$33,2,)</f>
        <v>Downtown</v>
      </c>
      <c r="C2774" s="2">
        <v>44403</v>
      </c>
      <c r="D2774" s="3">
        <v>1445.2</v>
      </c>
    </row>
    <row r="2775" spans="1:4" ht="14.7" hidden="1" thickBot="1" x14ac:dyDescent="0.6">
      <c r="A2775" s="1" t="s">
        <v>12</v>
      </c>
      <c r="B2775" t="str">
        <f>VLOOKUP(A2775,'Area Breakdown'!$B$1:$C$33,2,)</f>
        <v>New Cairo</v>
      </c>
      <c r="C2775" s="2">
        <v>44403</v>
      </c>
      <c r="D2775" s="3">
        <v>1247.2</v>
      </c>
    </row>
    <row r="2776" spans="1:4" ht="14.7" hidden="1" thickBot="1" x14ac:dyDescent="0.6">
      <c r="A2776" s="1" t="s">
        <v>21</v>
      </c>
      <c r="B2776" t="str">
        <f>VLOOKUP(A2776,'Area Breakdown'!$B$1:$C$33,2,)</f>
        <v>Heliopolis</v>
      </c>
      <c r="C2776" s="2">
        <v>44403</v>
      </c>
      <c r="D2776" s="3">
        <v>1116.8</v>
      </c>
    </row>
    <row r="2777" spans="1:4" ht="14.7" hidden="1" thickBot="1" x14ac:dyDescent="0.6">
      <c r="A2777" s="1" t="s">
        <v>19</v>
      </c>
      <c r="B2777" t="str">
        <f>VLOOKUP(A2777,'Area Breakdown'!$B$1:$C$33,2,)</f>
        <v>Downtown</v>
      </c>
      <c r="C2777" s="2">
        <v>44403</v>
      </c>
      <c r="D2777" s="3">
        <v>1106</v>
      </c>
    </row>
    <row r="2778" spans="1:4" ht="14.7" hidden="1" thickBot="1" x14ac:dyDescent="0.6">
      <c r="A2778" s="1" t="s">
        <v>20</v>
      </c>
      <c r="B2778" t="str">
        <f>VLOOKUP(A2778,'Area Breakdown'!$B$1:$C$33,2,)</f>
        <v>Downtown</v>
      </c>
      <c r="C2778" s="2">
        <v>44403</v>
      </c>
      <c r="D2778" s="3">
        <v>1047.2</v>
      </c>
    </row>
    <row r="2779" spans="1:4" ht="14.7" hidden="1" thickBot="1" x14ac:dyDescent="0.6">
      <c r="A2779" s="1" t="s">
        <v>3</v>
      </c>
      <c r="B2779" t="str">
        <f>VLOOKUP(A2779,'Area Breakdown'!$B$1:$C$33,2,)</f>
        <v>Downtown</v>
      </c>
      <c r="C2779" s="2">
        <v>44403</v>
      </c>
      <c r="D2779" s="3">
        <v>939.2</v>
      </c>
    </row>
    <row r="2780" spans="1:4" ht="14.7" hidden="1" thickBot="1" x14ac:dyDescent="0.6">
      <c r="A2780" s="1" t="s">
        <v>8</v>
      </c>
      <c r="B2780" t="str">
        <f>VLOOKUP(A2780,'Area Breakdown'!$B$1:$C$33,2,)</f>
        <v>Heliopolis</v>
      </c>
      <c r="C2780" s="2">
        <v>44403</v>
      </c>
      <c r="D2780" s="3">
        <v>928.80000000000007</v>
      </c>
    </row>
    <row r="2781" spans="1:4" ht="14.7" hidden="1" thickBot="1" x14ac:dyDescent="0.6">
      <c r="A2781" s="1" t="s">
        <v>16</v>
      </c>
      <c r="B2781" t="str">
        <f>VLOOKUP(A2781,'Area Breakdown'!$B$1:$C$33,2,)</f>
        <v>Downtown</v>
      </c>
      <c r="C2781" s="2">
        <v>44403</v>
      </c>
      <c r="D2781" s="3">
        <v>890.80000000000007</v>
      </c>
    </row>
    <row r="2782" spans="1:4" ht="14.7" hidden="1" thickBot="1" x14ac:dyDescent="0.6">
      <c r="A2782" s="1" t="s">
        <v>27</v>
      </c>
      <c r="B2782" t="str">
        <f>VLOOKUP(A2782,'Area Breakdown'!$B$1:$C$33,2,)</f>
        <v xml:space="preserve">Alexandria </v>
      </c>
      <c r="C2782" s="2">
        <v>44403</v>
      </c>
      <c r="D2782" s="3">
        <v>875.2</v>
      </c>
    </row>
    <row r="2783" spans="1:4" ht="14.7" hidden="1" thickBot="1" x14ac:dyDescent="0.6">
      <c r="A2783" s="1" t="s">
        <v>30</v>
      </c>
      <c r="B2783" t="str">
        <f>VLOOKUP(A2783,'Area Breakdown'!$B$1:$C$33,2,)</f>
        <v>October</v>
      </c>
      <c r="C2783" s="2">
        <v>44403</v>
      </c>
      <c r="D2783" s="3">
        <v>730.40000000000009</v>
      </c>
    </row>
    <row r="2784" spans="1:4" ht="14.7" hidden="1" thickBot="1" x14ac:dyDescent="0.6">
      <c r="A2784" s="1" t="s">
        <v>10</v>
      </c>
      <c r="B2784" t="str">
        <f>VLOOKUP(A2784,'Area Breakdown'!$B$1:$C$33,2,)</f>
        <v xml:space="preserve">Alexandria </v>
      </c>
      <c r="C2784" s="2">
        <v>44403</v>
      </c>
      <c r="D2784" s="3">
        <v>726.40000000000009</v>
      </c>
    </row>
    <row r="2785" spans="1:4" ht="14.7" hidden="1" thickBot="1" x14ac:dyDescent="0.6">
      <c r="A2785" s="1" t="s">
        <v>9</v>
      </c>
      <c r="B2785" t="str">
        <f>VLOOKUP(A2785,'Area Breakdown'!$B$1:$C$33,2,)</f>
        <v xml:space="preserve">Alexandria </v>
      </c>
      <c r="C2785" s="2">
        <v>44403</v>
      </c>
      <c r="D2785" s="3">
        <v>720</v>
      </c>
    </row>
    <row r="2786" spans="1:4" ht="14.7" hidden="1" thickBot="1" x14ac:dyDescent="0.6">
      <c r="A2786" s="1" t="s">
        <v>11</v>
      </c>
      <c r="B2786" t="str">
        <f>VLOOKUP(A2786,'Area Breakdown'!$B$1:$C$33,2,)</f>
        <v>New Cairo</v>
      </c>
      <c r="C2786" s="2">
        <v>44403</v>
      </c>
      <c r="D2786" s="3">
        <v>705.6</v>
      </c>
    </row>
    <row r="2787" spans="1:4" ht="14.7" hidden="1" thickBot="1" x14ac:dyDescent="0.6">
      <c r="A2787" s="1" t="s">
        <v>25</v>
      </c>
      <c r="B2787" t="str">
        <f>VLOOKUP(A2787,'Area Breakdown'!$B$1:$C$33,2,)</f>
        <v>October</v>
      </c>
      <c r="C2787" s="2">
        <v>44403</v>
      </c>
      <c r="D2787" s="3">
        <v>701.2</v>
      </c>
    </row>
    <row r="2788" spans="1:4" ht="14.7" hidden="1" thickBot="1" x14ac:dyDescent="0.6">
      <c r="A2788" s="1" t="s">
        <v>17</v>
      </c>
      <c r="B2788" t="str">
        <f>VLOOKUP(A2788,'Area Breakdown'!$B$1:$C$33,2,)</f>
        <v>Heliopolis</v>
      </c>
      <c r="C2788" s="2">
        <v>44403</v>
      </c>
      <c r="D2788" s="3">
        <v>637.20000000000005</v>
      </c>
    </row>
    <row r="2789" spans="1:4" ht="14.7" hidden="1" thickBot="1" x14ac:dyDescent="0.6">
      <c r="A2789" s="1" t="s">
        <v>23</v>
      </c>
      <c r="B2789" t="str">
        <f>VLOOKUP(A2789,'Area Breakdown'!$B$1:$C$33,2,)</f>
        <v>Heliopolis</v>
      </c>
      <c r="C2789" s="2">
        <v>44403</v>
      </c>
      <c r="D2789" s="3">
        <v>540.4</v>
      </c>
    </row>
    <row r="2790" spans="1:4" ht="14.7" hidden="1" thickBot="1" x14ac:dyDescent="0.6">
      <c r="A2790" s="1" t="s">
        <v>13</v>
      </c>
      <c r="B2790" t="str">
        <f>VLOOKUP(A2790,'Area Breakdown'!$B$1:$C$33,2,)</f>
        <v>Heliopolis</v>
      </c>
      <c r="C2790" s="2">
        <v>44403</v>
      </c>
      <c r="D2790" s="3">
        <v>528.80000000000007</v>
      </c>
    </row>
    <row r="2791" spans="1:4" ht="14.7" hidden="1" thickBot="1" x14ac:dyDescent="0.6">
      <c r="A2791" s="1" t="s">
        <v>29</v>
      </c>
      <c r="B2791" t="str">
        <f>VLOOKUP(A2791,'Area Breakdown'!$B$1:$C$33,2,)</f>
        <v>Downtown</v>
      </c>
      <c r="C2791" s="2">
        <v>44403</v>
      </c>
      <c r="D2791" s="3">
        <v>512</v>
      </c>
    </row>
    <row r="2792" spans="1:4" ht="14.7" hidden="1" thickBot="1" x14ac:dyDescent="0.6">
      <c r="A2792" s="1" t="s">
        <v>4</v>
      </c>
      <c r="B2792" t="str">
        <f>VLOOKUP(A2792,'Area Breakdown'!$B$1:$C$33,2,)</f>
        <v>Downtown</v>
      </c>
      <c r="C2792" s="2">
        <v>44403</v>
      </c>
      <c r="D2792" s="3">
        <v>438.8</v>
      </c>
    </row>
    <row r="2793" spans="1:4" ht="14.7" hidden="1" thickBot="1" x14ac:dyDescent="0.6">
      <c r="A2793" s="1" t="s">
        <v>15</v>
      </c>
      <c r="B2793" t="str">
        <f>VLOOKUP(A2793,'Area Breakdown'!$B$1:$C$33,2,)</f>
        <v>Heliopolis</v>
      </c>
      <c r="C2793" s="2">
        <v>44403</v>
      </c>
      <c r="D2793" s="3">
        <v>372.8</v>
      </c>
    </row>
    <row r="2794" spans="1:4" ht="14.7" hidden="1" thickBot="1" x14ac:dyDescent="0.6">
      <c r="A2794" s="1" t="s">
        <v>7</v>
      </c>
      <c r="B2794" t="str">
        <f>VLOOKUP(A2794,'Area Breakdown'!$B$1:$C$33,2,)</f>
        <v>October</v>
      </c>
      <c r="C2794" s="2">
        <v>44403</v>
      </c>
      <c r="D2794" s="3">
        <v>336.40000000000003</v>
      </c>
    </row>
    <row r="2795" spans="1:4" ht="14.7" hidden="1" thickBot="1" x14ac:dyDescent="0.6">
      <c r="A2795" s="1" t="s">
        <v>2</v>
      </c>
      <c r="B2795" t="str">
        <f>VLOOKUP(A2795,'Area Breakdown'!$B$1:$C$33,2,)</f>
        <v>Downtown</v>
      </c>
      <c r="C2795" s="2">
        <v>44403</v>
      </c>
      <c r="D2795" s="3">
        <v>293.60000000000002</v>
      </c>
    </row>
    <row r="2796" spans="1:4" ht="14.7" hidden="1" thickBot="1" x14ac:dyDescent="0.6">
      <c r="A2796" s="1" t="s">
        <v>6</v>
      </c>
      <c r="B2796" t="str">
        <f>VLOOKUP(A2796,'Area Breakdown'!$B$1:$C$33,2,)</f>
        <v xml:space="preserve">Alexandria </v>
      </c>
      <c r="C2796" s="2">
        <v>44403</v>
      </c>
      <c r="D2796" s="3">
        <v>144.4</v>
      </c>
    </row>
    <row r="2797" spans="1:4" ht="14.7" hidden="1" thickBot="1" x14ac:dyDescent="0.6">
      <c r="A2797" s="1" t="s">
        <v>22</v>
      </c>
      <c r="B2797" t="str">
        <f>VLOOKUP(A2797,'Area Breakdown'!$B$1:$C$33,2,)</f>
        <v>Heliopolis</v>
      </c>
      <c r="C2797" s="2">
        <v>44403</v>
      </c>
      <c r="D2797" s="3">
        <v>0</v>
      </c>
    </row>
    <row r="2798" spans="1:4" ht="14.7" hidden="1" thickBot="1" x14ac:dyDescent="0.6">
      <c r="A2798" s="1" t="s">
        <v>24</v>
      </c>
      <c r="B2798" t="str">
        <f>VLOOKUP(A2798,'Area Breakdown'!$B$1:$C$33,2,)</f>
        <v>October</v>
      </c>
      <c r="C2798" s="2">
        <v>44403</v>
      </c>
      <c r="D2798" s="3">
        <v>0</v>
      </c>
    </row>
    <row r="2799" spans="1:4" ht="14.7" hidden="1" thickBot="1" x14ac:dyDescent="0.6">
      <c r="A2799" s="1" t="s">
        <v>1</v>
      </c>
      <c r="B2799" t="str">
        <f>VLOOKUP(A2799,'Area Breakdown'!$B$1:$C$33,2,)</f>
        <v>Downtown</v>
      </c>
      <c r="C2799" s="2">
        <v>44404</v>
      </c>
      <c r="D2799" s="3">
        <v>1599.6000000000001</v>
      </c>
    </row>
    <row r="2800" spans="1:4" ht="14.7" hidden="1" thickBot="1" x14ac:dyDescent="0.6">
      <c r="A2800" s="1" t="s">
        <v>20</v>
      </c>
      <c r="B2800" t="str">
        <f>VLOOKUP(A2800,'Area Breakdown'!$B$1:$C$33,2,)</f>
        <v>Downtown</v>
      </c>
      <c r="C2800" s="2">
        <v>44404</v>
      </c>
      <c r="D2800" s="3">
        <v>1430.4</v>
      </c>
    </row>
    <row r="2801" spans="1:4" ht="14.7" hidden="1" thickBot="1" x14ac:dyDescent="0.6">
      <c r="A2801" s="1" t="s">
        <v>8</v>
      </c>
      <c r="B2801" t="str">
        <f>VLOOKUP(A2801,'Area Breakdown'!$B$1:$C$33,2,)</f>
        <v>Heliopolis</v>
      </c>
      <c r="C2801" s="2">
        <v>44404</v>
      </c>
      <c r="D2801" s="3">
        <v>1056</v>
      </c>
    </row>
    <row r="2802" spans="1:4" ht="14.7" hidden="1" thickBot="1" x14ac:dyDescent="0.6">
      <c r="A2802" s="1" t="s">
        <v>24</v>
      </c>
      <c r="B2802" t="str">
        <f>VLOOKUP(A2802,'Area Breakdown'!$B$1:$C$33,2,)</f>
        <v>October</v>
      </c>
      <c r="C2802" s="2">
        <v>44404</v>
      </c>
      <c r="D2802" s="3">
        <v>1000.8000000000001</v>
      </c>
    </row>
    <row r="2803" spans="1:4" ht="14.7" hidden="1" thickBot="1" x14ac:dyDescent="0.6">
      <c r="A2803" s="1" t="s">
        <v>16</v>
      </c>
      <c r="B2803" t="str">
        <f>VLOOKUP(A2803,'Area Breakdown'!$B$1:$C$33,2,)</f>
        <v>Downtown</v>
      </c>
      <c r="C2803" s="2">
        <v>44404</v>
      </c>
      <c r="D2803" s="3">
        <v>884.40000000000009</v>
      </c>
    </row>
    <row r="2804" spans="1:4" ht="14.7" hidden="1" thickBot="1" x14ac:dyDescent="0.6">
      <c r="A2804" s="1" t="s">
        <v>3</v>
      </c>
      <c r="B2804" t="str">
        <f>VLOOKUP(A2804,'Area Breakdown'!$B$1:$C$33,2,)</f>
        <v>Downtown</v>
      </c>
      <c r="C2804" s="2">
        <v>44404</v>
      </c>
      <c r="D2804" s="3">
        <v>841.6</v>
      </c>
    </row>
    <row r="2805" spans="1:4" ht="14.7" hidden="1" thickBot="1" x14ac:dyDescent="0.6">
      <c r="A2805" s="1" t="s">
        <v>21</v>
      </c>
      <c r="B2805" t="str">
        <f>VLOOKUP(A2805,'Area Breakdown'!$B$1:$C$33,2,)</f>
        <v>Heliopolis</v>
      </c>
      <c r="C2805" s="2">
        <v>44404</v>
      </c>
      <c r="D2805" s="3">
        <v>810.80000000000007</v>
      </c>
    </row>
    <row r="2806" spans="1:4" ht="14.7" hidden="1" thickBot="1" x14ac:dyDescent="0.6">
      <c r="A2806" s="1" t="s">
        <v>12</v>
      </c>
      <c r="B2806" t="str">
        <f>VLOOKUP(A2806,'Area Breakdown'!$B$1:$C$33,2,)</f>
        <v>New Cairo</v>
      </c>
      <c r="C2806" s="2">
        <v>44404</v>
      </c>
      <c r="D2806" s="3">
        <v>800</v>
      </c>
    </row>
    <row r="2807" spans="1:4" ht="14.7" hidden="1" thickBot="1" x14ac:dyDescent="0.6">
      <c r="A2807" s="1" t="s">
        <v>2</v>
      </c>
      <c r="B2807" t="str">
        <f>VLOOKUP(A2807,'Area Breakdown'!$B$1:$C$33,2,)</f>
        <v>Downtown</v>
      </c>
      <c r="C2807" s="2">
        <v>44404</v>
      </c>
      <c r="D2807" s="3">
        <v>797.6</v>
      </c>
    </row>
    <row r="2808" spans="1:4" ht="14.7" hidden="1" thickBot="1" x14ac:dyDescent="0.6">
      <c r="A2808" s="1" t="s">
        <v>27</v>
      </c>
      <c r="B2808" t="str">
        <f>VLOOKUP(A2808,'Area Breakdown'!$B$1:$C$33,2,)</f>
        <v xml:space="preserve">Alexandria </v>
      </c>
      <c r="C2808" s="2">
        <v>44404</v>
      </c>
      <c r="D2808" s="3">
        <v>778</v>
      </c>
    </row>
    <row r="2809" spans="1:4" ht="14.7" hidden="1" thickBot="1" x14ac:dyDescent="0.6">
      <c r="A2809" s="1" t="s">
        <v>25</v>
      </c>
      <c r="B2809" t="str">
        <f>VLOOKUP(A2809,'Area Breakdown'!$B$1:$C$33,2,)</f>
        <v>October</v>
      </c>
      <c r="C2809" s="2">
        <v>44404</v>
      </c>
      <c r="D2809" s="3">
        <v>766.40000000000009</v>
      </c>
    </row>
    <row r="2810" spans="1:4" ht="14.7" hidden="1" thickBot="1" x14ac:dyDescent="0.6">
      <c r="A2810" s="1" t="s">
        <v>9</v>
      </c>
      <c r="B2810" t="str">
        <f>VLOOKUP(A2810,'Area Breakdown'!$B$1:$C$33,2,)</f>
        <v xml:space="preserve">Alexandria </v>
      </c>
      <c r="C2810" s="2">
        <v>44404</v>
      </c>
      <c r="D2810" s="3">
        <v>759.2</v>
      </c>
    </row>
    <row r="2811" spans="1:4" ht="14.7" hidden="1" thickBot="1" x14ac:dyDescent="0.6">
      <c r="A2811" s="1" t="s">
        <v>13</v>
      </c>
      <c r="B2811" t="str">
        <f>VLOOKUP(A2811,'Area Breakdown'!$B$1:$C$33,2,)</f>
        <v>Heliopolis</v>
      </c>
      <c r="C2811" s="2">
        <v>44404</v>
      </c>
      <c r="D2811" s="3">
        <v>624</v>
      </c>
    </row>
    <row r="2812" spans="1:4" ht="14.7" hidden="1" thickBot="1" x14ac:dyDescent="0.6">
      <c r="A2812" s="1" t="s">
        <v>0</v>
      </c>
      <c r="B2812" t="str">
        <f>VLOOKUP(A2812,'Area Breakdown'!$B$1:$C$33,2,)</f>
        <v>Downtown</v>
      </c>
      <c r="C2812" s="2">
        <v>44404</v>
      </c>
      <c r="D2812" s="3">
        <v>621.6</v>
      </c>
    </row>
    <row r="2813" spans="1:4" ht="14.7" hidden="1" thickBot="1" x14ac:dyDescent="0.6">
      <c r="A2813" s="1" t="s">
        <v>11</v>
      </c>
      <c r="B2813" t="str">
        <f>VLOOKUP(A2813,'Area Breakdown'!$B$1:$C$33,2,)</f>
        <v>New Cairo</v>
      </c>
      <c r="C2813" s="2">
        <v>44404</v>
      </c>
      <c r="D2813" s="3">
        <v>567.20000000000005</v>
      </c>
    </row>
    <row r="2814" spans="1:4" ht="14.7" hidden="1" thickBot="1" x14ac:dyDescent="0.6">
      <c r="A2814" s="1" t="s">
        <v>30</v>
      </c>
      <c r="B2814" t="str">
        <f>VLOOKUP(A2814,'Area Breakdown'!$B$1:$C$33,2,)</f>
        <v>October</v>
      </c>
      <c r="C2814" s="2">
        <v>44404</v>
      </c>
      <c r="D2814" s="3">
        <v>534.4</v>
      </c>
    </row>
    <row r="2815" spans="1:4" ht="14.7" hidden="1" thickBot="1" x14ac:dyDescent="0.6">
      <c r="A2815" s="1" t="s">
        <v>10</v>
      </c>
      <c r="B2815" t="str">
        <f>VLOOKUP(A2815,'Area Breakdown'!$B$1:$C$33,2,)</f>
        <v xml:space="preserve">Alexandria </v>
      </c>
      <c r="C2815" s="2">
        <v>44404</v>
      </c>
      <c r="D2815" s="3">
        <v>445.20000000000005</v>
      </c>
    </row>
    <row r="2816" spans="1:4" ht="14.7" hidden="1" thickBot="1" x14ac:dyDescent="0.6">
      <c r="A2816" s="1" t="s">
        <v>29</v>
      </c>
      <c r="B2816" t="str">
        <f>VLOOKUP(A2816,'Area Breakdown'!$B$1:$C$33,2,)</f>
        <v>Downtown</v>
      </c>
      <c r="C2816" s="2">
        <v>44404</v>
      </c>
      <c r="D2816" s="3">
        <v>435.6</v>
      </c>
    </row>
    <row r="2817" spans="1:4" ht="14.7" hidden="1" thickBot="1" x14ac:dyDescent="0.6">
      <c r="A2817" s="1" t="s">
        <v>7</v>
      </c>
      <c r="B2817" t="str">
        <f>VLOOKUP(A2817,'Area Breakdown'!$B$1:$C$33,2,)</f>
        <v>October</v>
      </c>
      <c r="C2817" s="2">
        <v>44404</v>
      </c>
      <c r="D2817" s="3">
        <v>414.40000000000003</v>
      </c>
    </row>
    <row r="2818" spans="1:4" ht="14.7" hidden="1" thickBot="1" x14ac:dyDescent="0.6">
      <c r="A2818" s="1" t="s">
        <v>4</v>
      </c>
      <c r="B2818" t="str">
        <f>VLOOKUP(A2818,'Area Breakdown'!$B$1:$C$33,2,)</f>
        <v>Downtown</v>
      </c>
      <c r="C2818" s="2">
        <v>44404</v>
      </c>
      <c r="D2818" s="3">
        <v>369.20000000000005</v>
      </c>
    </row>
    <row r="2819" spans="1:4" ht="14.7" hidden="1" thickBot="1" x14ac:dyDescent="0.6">
      <c r="A2819" s="1" t="s">
        <v>17</v>
      </c>
      <c r="B2819" t="str">
        <f>VLOOKUP(A2819,'Area Breakdown'!$B$1:$C$33,2,)</f>
        <v>Heliopolis</v>
      </c>
      <c r="C2819" s="2">
        <v>44404</v>
      </c>
      <c r="D2819" s="3">
        <v>362</v>
      </c>
    </row>
    <row r="2820" spans="1:4" ht="14.7" hidden="1" thickBot="1" x14ac:dyDescent="0.6">
      <c r="A2820" s="1" t="s">
        <v>15</v>
      </c>
      <c r="B2820" t="str">
        <f>VLOOKUP(A2820,'Area Breakdown'!$B$1:$C$33,2,)</f>
        <v>Heliopolis</v>
      </c>
      <c r="C2820" s="2">
        <v>44404</v>
      </c>
      <c r="D2820" s="3">
        <v>354</v>
      </c>
    </row>
    <row r="2821" spans="1:4" ht="14.7" hidden="1" thickBot="1" x14ac:dyDescent="0.6">
      <c r="A2821" s="1" t="s">
        <v>23</v>
      </c>
      <c r="B2821" t="str">
        <f>VLOOKUP(A2821,'Area Breakdown'!$B$1:$C$33,2,)</f>
        <v>Heliopolis</v>
      </c>
      <c r="C2821" s="2">
        <v>44404</v>
      </c>
      <c r="D2821" s="3">
        <v>302.8</v>
      </c>
    </row>
    <row r="2822" spans="1:4" ht="14.7" hidden="1" thickBot="1" x14ac:dyDescent="0.6">
      <c r="A2822" s="1" t="s">
        <v>6</v>
      </c>
      <c r="B2822" t="str">
        <f>VLOOKUP(A2822,'Area Breakdown'!$B$1:$C$33,2,)</f>
        <v xml:space="preserve">Alexandria </v>
      </c>
      <c r="C2822" s="2">
        <v>44404</v>
      </c>
      <c r="D2822" s="3">
        <v>178</v>
      </c>
    </row>
    <row r="2823" spans="1:4" ht="14.7" hidden="1" thickBot="1" x14ac:dyDescent="0.6">
      <c r="A2823" s="1" t="s">
        <v>22</v>
      </c>
      <c r="B2823" t="str">
        <f>VLOOKUP(A2823,'Area Breakdown'!$B$1:$C$33,2,)</f>
        <v>Heliopolis</v>
      </c>
      <c r="C2823" s="2">
        <v>44404</v>
      </c>
      <c r="D2823" s="3">
        <v>0</v>
      </c>
    </row>
    <row r="2824" spans="1:4" ht="14.7" hidden="1" thickBot="1" x14ac:dyDescent="0.6">
      <c r="A2824" s="1" t="s">
        <v>19</v>
      </c>
      <c r="B2824" t="str">
        <f>VLOOKUP(A2824,'Area Breakdown'!$B$1:$C$33,2,)</f>
        <v>Downtown</v>
      </c>
      <c r="C2824" s="2">
        <v>44404</v>
      </c>
      <c r="D2824" s="3">
        <v>1655.6000000000001</v>
      </c>
    </row>
    <row r="2825" spans="1:4" ht="14.7" hidden="1" thickBot="1" x14ac:dyDescent="0.6">
      <c r="A2825" s="1" t="s">
        <v>21</v>
      </c>
      <c r="B2825" t="str">
        <f>VLOOKUP(A2825,'Area Breakdown'!$B$1:$C$33,2,)</f>
        <v>Heliopolis</v>
      </c>
      <c r="C2825" s="2">
        <v>44405</v>
      </c>
      <c r="D2825" s="3">
        <v>1449.6000000000001</v>
      </c>
    </row>
    <row r="2826" spans="1:4" ht="14.7" hidden="1" thickBot="1" x14ac:dyDescent="0.6">
      <c r="A2826" s="1" t="s">
        <v>20</v>
      </c>
      <c r="B2826" t="str">
        <f>VLOOKUP(A2826,'Area Breakdown'!$B$1:$C$33,2,)</f>
        <v>Downtown</v>
      </c>
      <c r="C2826" s="2">
        <v>44405</v>
      </c>
      <c r="D2826" s="3">
        <v>1412.4</v>
      </c>
    </row>
    <row r="2827" spans="1:4" ht="14.7" hidden="1" thickBot="1" x14ac:dyDescent="0.6">
      <c r="A2827" s="1" t="s">
        <v>16</v>
      </c>
      <c r="B2827" t="str">
        <f>VLOOKUP(A2827,'Area Breakdown'!$B$1:$C$33,2,)</f>
        <v>Downtown</v>
      </c>
      <c r="C2827" s="2">
        <v>44405</v>
      </c>
      <c r="D2827" s="3">
        <v>1260.8000000000002</v>
      </c>
    </row>
    <row r="2828" spans="1:4" ht="14.7" hidden="1" thickBot="1" x14ac:dyDescent="0.6">
      <c r="A2828" s="1" t="s">
        <v>19</v>
      </c>
      <c r="B2828" t="str">
        <f>VLOOKUP(A2828,'Area Breakdown'!$B$1:$C$33,2,)</f>
        <v>Downtown</v>
      </c>
      <c r="C2828" s="2">
        <v>44405</v>
      </c>
      <c r="D2828" s="3">
        <v>1257.6000000000001</v>
      </c>
    </row>
    <row r="2829" spans="1:4" ht="14.7" hidden="1" thickBot="1" x14ac:dyDescent="0.6">
      <c r="A2829" s="1" t="s">
        <v>0</v>
      </c>
      <c r="B2829" t="str">
        <f>VLOOKUP(A2829,'Area Breakdown'!$B$1:$C$33,2,)</f>
        <v>Downtown</v>
      </c>
      <c r="C2829" s="2">
        <v>44405</v>
      </c>
      <c r="D2829" s="3">
        <v>1197.2</v>
      </c>
    </row>
    <row r="2830" spans="1:4" ht="14.7" hidden="1" thickBot="1" x14ac:dyDescent="0.6">
      <c r="A2830" s="1" t="s">
        <v>1</v>
      </c>
      <c r="B2830" t="str">
        <f>VLOOKUP(A2830,'Area Breakdown'!$B$1:$C$33,2,)</f>
        <v>Downtown</v>
      </c>
      <c r="C2830" s="2">
        <v>44405</v>
      </c>
      <c r="D2830" s="3">
        <v>1194</v>
      </c>
    </row>
    <row r="2831" spans="1:4" ht="14.7" hidden="1" thickBot="1" x14ac:dyDescent="0.6">
      <c r="A2831" s="1" t="s">
        <v>12</v>
      </c>
      <c r="B2831" t="str">
        <f>VLOOKUP(A2831,'Area Breakdown'!$B$1:$C$33,2,)</f>
        <v>New Cairo</v>
      </c>
      <c r="C2831" s="2">
        <v>44405</v>
      </c>
      <c r="D2831" s="3">
        <v>1057.2</v>
      </c>
    </row>
    <row r="2832" spans="1:4" ht="14.7" hidden="1" thickBot="1" x14ac:dyDescent="0.6">
      <c r="A2832" s="1" t="s">
        <v>17</v>
      </c>
      <c r="B2832" t="str">
        <f>VLOOKUP(A2832,'Area Breakdown'!$B$1:$C$33,2,)</f>
        <v>Heliopolis</v>
      </c>
      <c r="C2832" s="2">
        <v>44405</v>
      </c>
      <c r="D2832" s="3">
        <v>939.2</v>
      </c>
    </row>
    <row r="2833" spans="1:4" ht="14.7" hidden="1" thickBot="1" x14ac:dyDescent="0.6">
      <c r="A2833" s="1" t="s">
        <v>2</v>
      </c>
      <c r="B2833" t="str">
        <f>VLOOKUP(A2833,'Area Breakdown'!$B$1:$C$33,2,)</f>
        <v>Downtown</v>
      </c>
      <c r="C2833" s="2">
        <v>44405</v>
      </c>
      <c r="D2833" s="3">
        <v>938</v>
      </c>
    </row>
    <row r="2834" spans="1:4" ht="14.7" hidden="1" thickBot="1" x14ac:dyDescent="0.6">
      <c r="A2834" s="1" t="s">
        <v>24</v>
      </c>
      <c r="B2834" t="str">
        <f>VLOOKUP(A2834,'Area Breakdown'!$B$1:$C$33,2,)</f>
        <v>October</v>
      </c>
      <c r="C2834" s="2">
        <v>44405</v>
      </c>
      <c r="D2834" s="3">
        <v>932</v>
      </c>
    </row>
    <row r="2835" spans="1:4" ht="14.7" hidden="1" thickBot="1" x14ac:dyDescent="0.6">
      <c r="A2835" s="1" t="s">
        <v>13</v>
      </c>
      <c r="B2835" t="str">
        <f>VLOOKUP(A2835,'Area Breakdown'!$B$1:$C$33,2,)</f>
        <v>Heliopolis</v>
      </c>
      <c r="C2835" s="2">
        <v>44405</v>
      </c>
      <c r="D2835" s="3">
        <v>845.2</v>
      </c>
    </row>
    <row r="2836" spans="1:4" ht="14.7" hidden="1" thickBot="1" x14ac:dyDescent="0.6">
      <c r="A2836" s="1" t="s">
        <v>8</v>
      </c>
      <c r="B2836" t="str">
        <f>VLOOKUP(A2836,'Area Breakdown'!$B$1:$C$33,2,)</f>
        <v>Heliopolis</v>
      </c>
      <c r="C2836" s="2">
        <v>44405</v>
      </c>
      <c r="D2836" s="3">
        <v>743.2</v>
      </c>
    </row>
    <row r="2837" spans="1:4" ht="14.7" hidden="1" thickBot="1" x14ac:dyDescent="0.6">
      <c r="A2837" s="1" t="s">
        <v>3</v>
      </c>
      <c r="B2837" t="str">
        <f>VLOOKUP(A2837,'Area Breakdown'!$B$1:$C$33,2,)</f>
        <v>Downtown</v>
      </c>
      <c r="C2837" s="2">
        <v>44405</v>
      </c>
      <c r="D2837" s="3">
        <v>666.80000000000007</v>
      </c>
    </row>
    <row r="2838" spans="1:4" ht="14.7" hidden="1" thickBot="1" x14ac:dyDescent="0.6">
      <c r="A2838" s="1" t="s">
        <v>23</v>
      </c>
      <c r="B2838" t="str">
        <f>VLOOKUP(A2838,'Area Breakdown'!$B$1:$C$33,2,)</f>
        <v>Heliopolis</v>
      </c>
      <c r="C2838" s="2">
        <v>44405</v>
      </c>
      <c r="D2838" s="3">
        <v>648.40000000000009</v>
      </c>
    </row>
    <row r="2839" spans="1:4" ht="14.7" hidden="1" thickBot="1" x14ac:dyDescent="0.6">
      <c r="A2839" s="1" t="s">
        <v>9</v>
      </c>
      <c r="B2839" t="str">
        <f>VLOOKUP(A2839,'Area Breakdown'!$B$1:$C$33,2,)</f>
        <v xml:space="preserve">Alexandria </v>
      </c>
      <c r="C2839" s="2">
        <v>44405</v>
      </c>
      <c r="D2839" s="3">
        <v>588.80000000000007</v>
      </c>
    </row>
    <row r="2840" spans="1:4" ht="14.7" hidden="1" thickBot="1" x14ac:dyDescent="0.6">
      <c r="A2840" s="1" t="s">
        <v>11</v>
      </c>
      <c r="B2840" t="str">
        <f>VLOOKUP(A2840,'Area Breakdown'!$B$1:$C$33,2,)</f>
        <v>New Cairo</v>
      </c>
      <c r="C2840" s="2">
        <v>44405</v>
      </c>
      <c r="D2840" s="3">
        <v>542.80000000000007</v>
      </c>
    </row>
    <row r="2841" spans="1:4" ht="14.7" hidden="1" thickBot="1" x14ac:dyDescent="0.6">
      <c r="A2841" s="1" t="s">
        <v>30</v>
      </c>
      <c r="B2841" t="str">
        <f>VLOOKUP(A2841,'Area Breakdown'!$B$1:$C$33,2,)</f>
        <v>October</v>
      </c>
      <c r="C2841" s="2">
        <v>44405</v>
      </c>
      <c r="D2841" s="3">
        <v>484.40000000000003</v>
      </c>
    </row>
    <row r="2842" spans="1:4" ht="14.7" hidden="1" thickBot="1" x14ac:dyDescent="0.6">
      <c r="A2842" s="1" t="s">
        <v>7</v>
      </c>
      <c r="B2842" t="str">
        <f>VLOOKUP(A2842,'Area Breakdown'!$B$1:$C$33,2,)</f>
        <v>October</v>
      </c>
      <c r="C2842" s="2">
        <v>44405</v>
      </c>
      <c r="D2842" s="3">
        <v>398.8</v>
      </c>
    </row>
    <row r="2843" spans="1:4" ht="14.7" hidden="1" thickBot="1" x14ac:dyDescent="0.6">
      <c r="A2843" s="1" t="s">
        <v>10</v>
      </c>
      <c r="B2843" t="str">
        <f>VLOOKUP(A2843,'Area Breakdown'!$B$1:$C$33,2,)</f>
        <v xml:space="preserve">Alexandria </v>
      </c>
      <c r="C2843" s="2">
        <v>44405</v>
      </c>
      <c r="D2843" s="3">
        <v>391.20000000000005</v>
      </c>
    </row>
    <row r="2844" spans="1:4" ht="14.7" hidden="1" thickBot="1" x14ac:dyDescent="0.6">
      <c r="A2844" s="1" t="s">
        <v>29</v>
      </c>
      <c r="B2844" t="str">
        <f>VLOOKUP(A2844,'Area Breakdown'!$B$1:$C$33,2,)</f>
        <v>Downtown</v>
      </c>
      <c r="C2844" s="2">
        <v>44405</v>
      </c>
      <c r="D2844" s="3">
        <v>354.8</v>
      </c>
    </row>
    <row r="2845" spans="1:4" ht="14.7" hidden="1" thickBot="1" x14ac:dyDescent="0.6">
      <c r="A2845" s="1" t="s">
        <v>4</v>
      </c>
      <c r="B2845" t="str">
        <f>VLOOKUP(A2845,'Area Breakdown'!$B$1:$C$33,2,)</f>
        <v>Downtown</v>
      </c>
      <c r="C2845" s="2">
        <v>44405</v>
      </c>
      <c r="D2845" s="3">
        <v>338.40000000000003</v>
      </c>
    </row>
    <row r="2846" spans="1:4" ht="14.7" hidden="1" thickBot="1" x14ac:dyDescent="0.6">
      <c r="A2846" s="1" t="s">
        <v>25</v>
      </c>
      <c r="B2846" t="str">
        <f>VLOOKUP(A2846,'Area Breakdown'!$B$1:$C$33,2,)</f>
        <v>October</v>
      </c>
      <c r="C2846" s="2">
        <v>44405</v>
      </c>
      <c r="D2846" s="3">
        <v>338</v>
      </c>
    </row>
    <row r="2847" spans="1:4" ht="14.7" hidden="1" thickBot="1" x14ac:dyDescent="0.6">
      <c r="A2847" s="1" t="s">
        <v>15</v>
      </c>
      <c r="B2847" t="str">
        <f>VLOOKUP(A2847,'Area Breakdown'!$B$1:$C$33,2,)</f>
        <v>Heliopolis</v>
      </c>
      <c r="C2847" s="2">
        <v>44405</v>
      </c>
      <c r="D2847" s="3">
        <v>287.2</v>
      </c>
    </row>
    <row r="2848" spans="1:4" ht="14.7" hidden="1" thickBot="1" x14ac:dyDescent="0.6">
      <c r="A2848" s="1" t="s">
        <v>6</v>
      </c>
      <c r="B2848" t="str">
        <f>VLOOKUP(A2848,'Area Breakdown'!$B$1:$C$33,2,)</f>
        <v xml:space="preserve">Alexandria </v>
      </c>
      <c r="C2848" s="2">
        <v>44405</v>
      </c>
      <c r="D2848" s="3">
        <v>220.8</v>
      </c>
    </row>
    <row r="2849" spans="1:4" ht="14.7" hidden="1" thickBot="1" x14ac:dyDescent="0.6">
      <c r="A2849" s="1" t="s">
        <v>22</v>
      </c>
      <c r="B2849" t="str">
        <f>VLOOKUP(A2849,'Area Breakdown'!$B$1:$C$33,2,)</f>
        <v>Heliopolis</v>
      </c>
      <c r="C2849" s="2">
        <v>44405</v>
      </c>
      <c r="D2849" s="3">
        <v>0</v>
      </c>
    </row>
    <row r="2850" spans="1:4" ht="14.7" hidden="1" thickBot="1" x14ac:dyDescent="0.6">
      <c r="A2850" s="1" t="s">
        <v>27</v>
      </c>
      <c r="B2850" t="str">
        <f>VLOOKUP(A2850,'Area Breakdown'!$B$1:$C$33,2,)</f>
        <v xml:space="preserve">Alexandria </v>
      </c>
      <c r="C2850" s="2">
        <v>44405</v>
      </c>
      <c r="D2850" s="3">
        <v>1309.2</v>
      </c>
    </row>
    <row r="2851" spans="1:4" ht="14.7" hidden="1" thickBot="1" x14ac:dyDescent="0.6">
      <c r="A2851" s="1" t="s">
        <v>20</v>
      </c>
      <c r="B2851" t="str">
        <f>VLOOKUP(A2851,'Area Breakdown'!$B$1:$C$33,2,)</f>
        <v>Downtown</v>
      </c>
      <c r="C2851" s="2">
        <v>44406</v>
      </c>
      <c r="D2851" s="3">
        <v>1456.4</v>
      </c>
    </row>
    <row r="2852" spans="1:4" ht="14.7" hidden="1" thickBot="1" x14ac:dyDescent="0.6">
      <c r="A2852" s="1" t="s">
        <v>21</v>
      </c>
      <c r="B2852" t="str">
        <f>VLOOKUP(A2852,'Area Breakdown'!$B$1:$C$33,2,)</f>
        <v>Heliopolis</v>
      </c>
      <c r="C2852" s="2">
        <v>44406</v>
      </c>
      <c r="D2852" s="3">
        <v>1390</v>
      </c>
    </row>
    <row r="2853" spans="1:4" ht="14.7" hidden="1" thickBot="1" x14ac:dyDescent="0.6">
      <c r="A2853" s="1" t="s">
        <v>1</v>
      </c>
      <c r="B2853" t="str">
        <f>VLOOKUP(A2853,'Area Breakdown'!$B$1:$C$33,2,)</f>
        <v>Downtown</v>
      </c>
      <c r="C2853" s="2">
        <v>44406</v>
      </c>
      <c r="D2853" s="3">
        <v>1349.2</v>
      </c>
    </row>
    <row r="2854" spans="1:4" ht="14.7" hidden="1" thickBot="1" x14ac:dyDescent="0.6">
      <c r="A2854" s="1" t="s">
        <v>12</v>
      </c>
      <c r="B2854" t="str">
        <f>VLOOKUP(A2854,'Area Breakdown'!$B$1:$C$33,2,)</f>
        <v>New Cairo</v>
      </c>
      <c r="C2854" s="2">
        <v>44406</v>
      </c>
      <c r="D2854" s="3">
        <v>1252</v>
      </c>
    </row>
    <row r="2855" spans="1:4" ht="14.7" hidden="1" thickBot="1" x14ac:dyDescent="0.6">
      <c r="A2855" s="1" t="s">
        <v>0</v>
      </c>
      <c r="B2855" t="str">
        <f>VLOOKUP(A2855,'Area Breakdown'!$B$1:$C$33,2,)</f>
        <v>Downtown</v>
      </c>
      <c r="C2855" s="2">
        <v>44406</v>
      </c>
      <c r="D2855" s="3">
        <v>1167.6000000000001</v>
      </c>
    </row>
    <row r="2856" spans="1:4" ht="14.7" hidden="1" thickBot="1" x14ac:dyDescent="0.6">
      <c r="A2856" s="1" t="s">
        <v>2</v>
      </c>
      <c r="B2856" t="str">
        <f>VLOOKUP(A2856,'Area Breakdown'!$B$1:$C$33,2,)</f>
        <v>Downtown</v>
      </c>
      <c r="C2856" s="2">
        <v>44406</v>
      </c>
      <c r="D2856" s="3">
        <v>1165.2</v>
      </c>
    </row>
    <row r="2857" spans="1:4" ht="14.7" hidden="1" thickBot="1" x14ac:dyDescent="0.6">
      <c r="A2857" s="1" t="s">
        <v>27</v>
      </c>
      <c r="B2857" t="str">
        <f>VLOOKUP(A2857,'Area Breakdown'!$B$1:$C$33,2,)</f>
        <v xml:space="preserve">Alexandria </v>
      </c>
      <c r="C2857" s="2">
        <v>44406</v>
      </c>
      <c r="D2857" s="3">
        <v>1032.8</v>
      </c>
    </row>
    <row r="2858" spans="1:4" ht="14.7" hidden="1" thickBot="1" x14ac:dyDescent="0.6">
      <c r="A2858" s="1" t="s">
        <v>24</v>
      </c>
      <c r="B2858" t="str">
        <f>VLOOKUP(A2858,'Area Breakdown'!$B$1:$C$33,2,)</f>
        <v>October</v>
      </c>
      <c r="C2858" s="2">
        <v>44406</v>
      </c>
      <c r="D2858" s="3">
        <v>952.80000000000007</v>
      </c>
    </row>
    <row r="2859" spans="1:4" ht="14.7" hidden="1" thickBot="1" x14ac:dyDescent="0.6">
      <c r="A2859" s="1" t="s">
        <v>8</v>
      </c>
      <c r="B2859" t="str">
        <f>VLOOKUP(A2859,'Area Breakdown'!$B$1:$C$33,2,)</f>
        <v>Heliopolis</v>
      </c>
      <c r="C2859" s="2">
        <v>44406</v>
      </c>
      <c r="D2859" s="3">
        <v>903.2</v>
      </c>
    </row>
    <row r="2860" spans="1:4" ht="14.7" hidden="1" thickBot="1" x14ac:dyDescent="0.6">
      <c r="A2860" s="1" t="s">
        <v>9</v>
      </c>
      <c r="B2860" t="str">
        <f>VLOOKUP(A2860,'Area Breakdown'!$B$1:$C$33,2,)</f>
        <v xml:space="preserve">Alexandria </v>
      </c>
      <c r="C2860" s="2">
        <v>44406</v>
      </c>
      <c r="D2860" s="3">
        <v>752.80000000000007</v>
      </c>
    </row>
    <row r="2861" spans="1:4" ht="14.7" hidden="1" thickBot="1" x14ac:dyDescent="0.6">
      <c r="A2861" s="1" t="s">
        <v>3</v>
      </c>
      <c r="B2861" t="str">
        <f>VLOOKUP(A2861,'Area Breakdown'!$B$1:$C$33,2,)</f>
        <v>Downtown</v>
      </c>
      <c r="C2861" s="2">
        <v>44406</v>
      </c>
      <c r="D2861" s="3">
        <v>719.2</v>
      </c>
    </row>
    <row r="2862" spans="1:4" ht="14.7" hidden="1" thickBot="1" x14ac:dyDescent="0.6">
      <c r="A2862" s="1" t="s">
        <v>10</v>
      </c>
      <c r="B2862" t="str">
        <f>VLOOKUP(A2862,'Area Breakdown'!$B$1:$C$33,2,)</f>
        <v xml:space="preserve">Alexandria </v>
      </c>
      <c r="C2862" s="2">
        <v>44406</v>
      </c>
      <c r="D2862" s="3">
        <v>684.40000000000009</v>
      </c>
    </row>
    <row r="2863" spans="1:4" ht="14.7" hidden="1" thickBot="1" x14ac:dyDescent="0.6">
      <c r="A2863" s="1" t="s">
        <v>13</v>
      </c>
      <c r="B2863" t="str">
        <f>VLOOKUP(A2863,'Area Breakdown'!$B$1:$C$33,2,)</f>
        <v>Heliopolis</v>
      </c>
      <c r="C2863" s="2">
        <v>44406</v>
      </c>
      <c r="D2863" s="3">
        <v>636</v>
      </c>
    </row>
    <row r="2864" spans="1:4" ht="14.7" hidden="1" thickBot="1" x14ac:dyDescent="0.6">
      <c r="A2864" s="1" t="s">
        <v>25</v>
      </c>
      <c r="B2864" t="str">
        <f>VLOOKUP(A2864,'Area Breakdown'!$B$1:$C$33,2,)</f>
        <v>October</v>
      </c>
      <c r="C2864" s="2">
        <v>44406</v>
      </c>
      <c r="D2864" s="3">
        <v>566</v>
      </c>
    </row>
    <row r="2865" spans="1:4" ht="14.7" hidden="1" thickBot="1" x14ac:dyDescent="0.6">
      <c r="A2865" s="1" t="s">
        <v>15</v>
      </c>
      <c r="B2865" t="str">
        <f>VLOOKUP(A2865,'Area Breakdown'!$B$1:$C$33,2,)</f>
        <v>Heliopolis</v>
      </c>
      <c r="C2865" s="2">
        <v>44406</v>
      </c>
      <c r="D2865" s="3">
        <v>555.6</v>
      </c>
    </row>
    <row r="2866" spans="1:4" ht="14.7" hidden="1" thickBot="1" x14ac:dyDescent="0.6">
      <c r="A2866" s="1" t="s">
        <v>30</v>
      </c>
      <c r="B2866" t="str">
        <f>VLOOKUP(A2866,'Area Breakdown'!$B$1:$C$33,2,)</f>
        <v>October</v>
      </c>
      <c r="C2866" s="2">
        <v>44406</v>
      </c>
      <c r="D2866" s="3">
        <v>542.4</v>
      </c>
    </row>
    <row r="2867" spans="1:4" ht="14.7" hidden="1" thickBot="1" x14ac:dyDescent="0.6">
      <c r="A2867" s="1" t="s">
        <v>11</v>
      </c>
      <c r="B2867" t="str">
        <f>VLOOKUP(A2867,'Area Breakdown'!$B$1:$C$33,2,)</f>
        <v>New Cairo</v>
      </c>
      <c r="C2867" s="2">
        <v>44406</v>
      </c>
      <c r="D2867" s="3">
        <v>519.6</v>
      </c>
    </row>
    <row r="2868" spans="1:4" ht="14.7" hidden="1" thickBot="1" x14ac:dyDescent="0.6">
      <c r="A2868" s="1" t="s">
        <v>23</v>
      </c>
      <c r="B2868" t="str">
        <f>VLOOKUP(A2868,'Area Breakdown'!$B$1:$C$33,2,)</f>
        <v>Heliopolis</v>
      </c>
      <c r="C2868" s="2">
        <v>44406</v>
      </c>
      <c r="D2868" s="3">
        <v>484.40000000000003</v>
      </c>
    </row>
    <row r="2869" spans="1:4" ht="14.7" hidden="1" thickBot="1" x14ac:dyDescent="0.6">
      <c r="A2869" s="1" t="s">
        <v>6</v>
      </c>
      <c r="B2869" t="str">
        <f>VLOOKUP(A2869,'Area Breakdown'!$B$1:$C$33,2,)</f>
        <v xml:space="preserve">Alexandria </v>
      </c>
      <c r="C2869" s="2">
        <v>44406</v>
      </c>
      <c r="D2869" s="3">
        <v>460</v>
      </c>
    </row>
    <row r="2870" spans="1:4" ht="14.7" hidden="1" thickBot="1" x14ac:dyDescent="0.6">
      <c r="A2870" s="1" t="s">
        <v>4</v>
      </c>
      <c r="B2870" t="str">
        <f>VLOOKUP(A2870,'Area Breakdown'!$B$1:$C$33,2,)</f>
        <v>Downtown</v>
      </c>
      <c r="C2870" s="2">
        <v>44406</v>
      </c>
      <c r="D2870" s="3">
        <v>407.20000000000005</v>
      </c>
    </row>
    <row r="2871" spans="1:4" ht="14.7" hidden="1" thickBot="1" x14ac:dyDescent="0.6">
      <c r="A2871" s="1" t="s">
        <v>7</v>
      </c>
      <c r="B2871" t="str">
        <f>VLOOKUP(A2871,'Area Breakdown'!$B$1:$C$33,2,)</f>
        <v>October</v>
      </c>
      <c r="C2871" s="2">
        <v>44406</v>
      </c>
      <c r="D2871" s="3">
        <v>311.60000000000002</v>
      </c>
    </row>
    <row r="2872" spans="1:4" ht="14.7" hidden="1" thickBot="1" x14ac:dyDescent="0.6">
      <c r="A2872" s="1" t="s">
        <v>29</v>
      </c>
      <c r="B2872" t="str">
        <f>VLOOKUP(A2872,'Area Breakdown'!$B$1:$C$33,2,)</f>
        <v>Downtown</v>
      </c>
      <c r="C2872" s="2">
        <v>44406</v>
      </c>
      <c r="D2872" s="3">
        <v>295.60000000000002</v>
      </c>
    </row>
    <row r="2873" spans="1:4" ht="14.7" hidden="1" thickBot="1" x14ac:dyDescent="0.6">
      <c r="A2873" s="1" t="s">
        <v>22</v>
      </c>
      <c r="B2873" t="str">
        <f>VLOOKUP(A2873,'Area Breakdown'!$B$1:$C$33,2,)</f>
        <v>Heliopolis</v>
      </c>
      <c r="C2873" s="2">
        <v>44406</v>
      </c>
      <c r="D2873" s="3">
        <v>0</v>
      </c>
    </row>
    <row r="2874" spans="1:4" ht="14.7" hidden="1" thickBot="1" x14ac:dyDescent="0.6">
      <c r="A2874" s="1" t="s">
        <v>17</v>
      </c>
      <c r="B2874" t="str">
        <f>VLOOKUP(A2874,'Area Breakdown'!$B$1:$C$33,2,)</f>
        <v>Heliopolis</v>
      </c>
      <c r="C2874" s="2">
        <v>44406</v>
      </c>
      <c r="D2874" s="3">
        <v>0</v>
      </c>
    </row>
    <row r="2875" spans="1:4" ht="14.7" hidden="1" thickBot="1" x14ac:dyDescent="0.6">
      <c r="A2875" s="1" t="s">
        <v>16</v>
      </c>
      <c r="B2875" t="str">
        <f>VLOOKUP(A2875,'Area Breakdown'!$B$1:$C$33,2,)</f>
        <v>Downtown</v>
      </c>
      <c r="C2875" s="2">
        <v>44406</v>
      </c>
      <c r="D2875" s="3">
        <v>1330.8000000000002</v>
      </c>
    </row>
    <row r="2876" spans="1:4" ht="14.7" hidden="1" thickBot="1" x14ac:dyDescent="0.6">
      <c r="A2876" s="1" t="s">
        <v>19</v>
      </c>
      <c r="B2876" t="str">
        <f>VLOOKUP(A2876,'Area Breakdown'!$B$1:$C$33,2,)</f>
        <v>Downtown</v>
      </c>
      <c r="C2876" s="2">
        <v>44406</v>
      </c>
      <c r="D2876" s="3">
        <v>1880.4</v>
      </c>
    </row>
    <row r="2877" spans="1:4" ht="14.7" hidden="1" thickBot="1" x14ac:dyDescent="0.6">
      <c r="A2877" s="1" t="s">
        <v>16</v>
      </c>
      <c r="B2877" t="str">
        <f>VLOOKUP(A2877,'Area Breakdown'!$B$1:$C$33,2,)</f>
        <v>Downtown</v>
      </c>
      <c r="C2877" s="2">
        <v>44407</v>
      </c>
      <c r="D2877" s="3">
        <v>985.6</v>
      </c>
    </row>
    <row r="2878" spans="1:4" ht="14.7" hidden="1" thickBot="1" x14ac:dyDescent="0.6">
      <c r="A2878" s="1" t="s">
        <v>25</v>
      </c>
      <c r="B2878" t="str">
        <f>VLOOKUP(A2878,'Area Breakdown'!$B$1:$C$33,2,)</f>
        <v>October</v>
      </c>
      <c r="C2878" s="2">
        <v>44407</v>
      </c>
      <c r="D2878" s="3">
        <v>869.2</v>
      </c>
    </row>
    <row r="2879" spans="1:4" ht="14.7" hidden="1" thickBot="1" x14ac:dyDescent="0.6">
      <c r="A2879" s="1" t="s">
        <v>20</v>
      </c>
      <c r="B2879" t="str">
        <f>VLOOKUP(A2879,'Area Breakdown'!$B$1:$C$33,2,)</f>
        <v>Downtown</v>
      </c>
      <c r="C2879" s="2">
        <v>44407</v>
      </c>
      <c r="D2879" s="3">
        <v>865.2</v>
      </c>
    </row>
    <row r="2880" spans="1:4" ht="14.7" hidden="1" thickBot="1" x14ac:dyDescent="0.6">
      <c r="A2880" s="1" t="s">
        <v>21</v>
      </c>
      <c r="B2880" t="str">
        <f>VLOOKUP(A2880,'Area Breakdown'!$B$1:$C$33,2,)</f>
        <v>Heliopolis</v>
      </c>
      <c r="C2880" s="2">
        <v>44407</v>
      </c>
      <c r="D2880" s="3">
        <v>741.2</v>
      </c>
    </row>
    <row r="2881" spans="1:4" ht="14.7" hidden="1" thickBot="1" x14ac:dyDescent="0.6">
      <c r="A2881" s="1" t="s">
        <v>2</v>
      </c>
      <c r="B2881" t="str">
        <f>VLOOKUP(A2881,'Area Breakdown'!$B$1:$C$33,2,)</f>
        <v>Downtown</v>
      </c>
      <c r="C2881" s="2">
        <v>44407</v>
      </c>
      <c r="D2881" s="3">
        <v>722</v>
      </c>
    </row>
    <row r="2882" spans="1:4" ht="14.7" hidden="1" thickBot="1" x14ac:dyDescent="0.6">
      <c r="A2882" s="1" t="s">
        <v>1</v>
      </c>
      <c r="B2882" t="str">
        <f>VLOOKUP(A2882,'Area Breakdown'!$B$1:$C$33,2,)</f>
        <v>Downtown</v>
      </c>
      <c r="C2882" s="2">
        <v>44407</v>
      </c>
      <c r="D2882" s="3">
        <v>716</v>
      </c>
    </row>
    <row r="2883" spans="1:4" ht="14.7" hidden="1" thickBot="1" x14ac:dyDescent="0.6">
      <c r="A2883" s="1" t="s">
        <v>12</v>
      </c>
      <c r="B2883" t="str">
        <f>VLOOKUP(A2883,'Area Breakdown'!$B$1:$C$33,2,)</f>
        <v>New Cairo</v>
      </c>
      <c r="C2883" s="2">
        <v>44407</v>
      </c>
      <c r="D2883" s="3">
        <v>695.2</v>
      </c>
    </row>
    <row r="2884" spans="1:4" ht="14.7" hidden="1" thickBot="1" x14ac:dyDescent="0.6">
      <c r="A2884" s="1" t="s">
        <v>24</v>
      </c>
      <c r="B2884" t="str">
        <f>VLOOKUP(A2884,'Area Breakdown'!$B$1:$C$33,2,)</f>
        <v>October</v>
      </c>
      <c r="C2884" s="2">
        <v>44407</v>
      </c>
      <c r="D2884" s="3">
        <v>684.40000000000009</v>
      </c>
    </row>
    <row r="2885" spans="1:4" ht="14.7" hidden="1" thickBot="1" x14ac:dyDescent="0.6">
      <c r="A2885" s="1" t="s">
        <v>19</v>
      </c>
      <c r="B2885" t="str">
        <f>VLOOKUP(A2885,'Area Breakdown'!$B$1:$C$33,2,)</f>
        <v>Downtown</v>
      </c>
      <c r="C2885" s="2">
        <v>44407</v>
      </c>
      <c r="D2885" s="3">
        <v>646.80000000000007</v>
      </c>
    </row>
    <row r="2886" spans="1:4" ht="14.7" hidden="1" thickBot="1" x14ac:dyDescent="0.6">
      <c r="A2886" s="1" t="s">
        <v>27</v>
      </c>
      <c r="B2886" t="str">
        <f>VLOOKUP(A2886,'Area Breakdown'!$B$1:$C$33,2,)</f>
        <v xml:space="preserve">Alexandria </v>
      </c>
      <c r="C2886" s="2">
        <v>44407</v>
      </c>
      <c r="D2886" s="3">
        <v>618</v>
      </c>
    </row>
    <row r="2887" spans="1:4" ht="14.7" hidden="1" thickBot="1" x14ac:dyDescent="0.6">
      <c r="A2887" s="1" t="s">
        <v>9</v>
      </c>
      <c r="B2887" t="str">
        <f>VLOOKUP(A2887,'Area Breakdown'!$B$1:$C$33,2,)</f>
        <v xml:space="preserve">Alexandria </v>
      </c>
      <c r="C2887" s="2">
        <v>44407</v>
      </c>
      <c r="D2887" s="3">
        <v>588</v>
      </c>
    </row>
    <row r="2888" spans="1:4" ht="14.7" hidden="1" thickBot="1" x14ac:dyDescent="0.6">
      <c r="A2888" s="1" t="s">
        <v>0</v>
      </c>
      <c r="B2888" t="str">
        <f>VLOOKUP(A2888,'Area Breakdown'!$B$1:$C$33,2,)</f>
        <v>Downtown</v>
      </c>
      <c r="C2888" s="2">
        <v>44407</v>
      </c>
      <c r="D2888" s="3">
        <v>519.20000000000005</v>
      </c>
    </row>
    <row r="2889" spans="1:4" ht="14.7" hidden="1" thickBot="1" x14ac:dyDescent="0.6">
      <c r="A2889" s="1" t="s">
        <v>10</v>
      </c>
      <c r="B2889" t="str">
        <f>VLOOKUP(A2889,'Area Breakdown'!$B$1:$C$33,2,)</f>
        <v xml:space="preserve">Alexandria </v>
      </c>
      <c r="C2889" s="2">
        <v>44407</v>
      </c>
      <c r="D2889" s="3">
        <v>489.6</v>
      </c>
    </row>
    <row r="2890" spans="1:4" ht="14.7" hidden="1" thickBot="1" x14ac:dyDescent="0.6">
      <c r="A2890" s="1" t="s">
        <v>13</v>
      </c>
      <c r="B2890" t="str">
        <f>VLOOKUP(A2890,'Area Breakdown'!$B$1:$C$33,2,)</f>
        <v>Heliopolis</v>
      </c>
      <c r="C2890" s="2">
        <v>44407</v>
      </c>
      <c r="D2890" s="3">
        <v>445.20000000000005</v>
      </c>
    </row>
    <row r="2891" spans="1:4" ht="14.7" hidden="1" thickBot="1" x14ac:dyDescent="0.6">
      <c r="A2891" s="1" t="s">
        <v>23</v>
      </c>
      <c r="B2891" t="str">
        <f>VLOOKUP(A2891,'Area Breakdown'!$B$1:$C$33,2,)</f>
        <v>Heliopolis</v>
      </c>
      <c r="C2891" s="2">
        <v>44407</v>
      </c>
      <c r="D2891" s="3">
        <v>425.20000000000005</v>
      </c>
    </row>
    <row r="2892" spans="1:4" ht="14.7" hidden="1" thickBot="1" x14ac:dyDescent="0.6">
      <c r="A2892" s="1" t="s">
        <v>3</v>
      </c>
      <c r="B2892" t="str">
        <f>VLOOKUP(A2892,'Area Breakdown'!$B$1:$C$33,2,)</f>
        <v>Downtown</v>
      </c>
      <c r="C2892" s="2">
        <v>44407</v>
      </c>
      <c r="D2892" s="3">
        <v>411.6</v>
      </c>
    </row>
    <row r="2893" spans="1:4" ht="14.7" hidden="1" thickBot="1" x14ac:dyDescent="0.6">
      <c r="A2893" s="1" t="s">
        <v>15</v>
      </c>
      <c r="B2893" t="str">
        <f>VLOOKUP(A2893,'Area Breakdown'!$B$1:$C$33,2,)</f>
        <v>Heliopolis</v>
      </c>
      <c r="C2893" s="2">
        <v>44407</v>
      </c>
      <c r="D2893" s="3">
        <v>407.20000000000005</v>
      </c>
    </row>
    <row r="2894" spans="1:4" ht="14.7" hidden="1" thickBot="1" x14ac:dyDescent="0.6">
      <c r="A2894" s="1" t="s">
        <v>7</v>
      </c>
      <c r="B2894" t="str">
        <f>VLOOKUP(A2894,'Area Breakdown'!$B$1:$C$33,2,)</f>
        <v>October</v>
      </c>
      <c r="C2894" s="2">
        <v>44407</v>
      </c>
      <c r="D2894" s="3">
        <v>308</v>
      </c>
    </row>
    <row r="2895" spans="1:4" ht="14.7" hidden="1" thickBot="1" x14ac:dyDescent="0.6">
      <c r="A2895" s="1" t="s">
        <v>11</v>
      </c>
      <c r="B2895" t="str">
        <f>VLOOKUP(A2895,'Area Breakdown'!$B$1:$C$33,2,)</f>
        <v>New Cairo</v>
      </c>
      <c r="C2895" s="2">
        <v>44407</v>
      </c>
      <c r="D2895" s="3">
        <v>287.2</v>
      </c>
    </row>
    <row r="2896" spans="1:4" ht="14.7" hidden="1" thickBot="1" x14ac:dyDescent="0.6">
      <c r="A2896" s="1" t="s">
        <v>30</v>
      </c>
      <c r="B2896" t="str">
        <f>VLOOKUP(A2896,'Area Breakdown'!$B$1:$C$33,2,)</f>
        <v>October</v>
      </c>
      <c r="C2896" s="2">
        <v>44407</v>
      </c>
      <c r="D2896" s="3">
        <v>253.20000000000002</v>
      </c>
    </row>
    <row r="2897" spans="1:4" ht="14.7" hidden="1" thickBot="1" x14ac:dyDescent="0.6">
      <c r="A2897" s="1" t="s">
        <v>6</v>
      </c>
      <c r="B2897" t="str">
        <f>VLOOKUP(A2897,'Area Breakdown'!$B$1:$C$33,2,)</f>
        <v xml:space="preserve">Alexandria </v>
      </c>
      <c r="C2897" s="2">
        <v>44407</v>
      </c>
      <c r="D2897" s="3">
        <v>244</v>
      </c>
    </row>
    <row r="2898" spans="1:4" ht="14.7" hidden="1" thickBot="1" x14ac:dyDescent="0.6">
      <c r="A2898" s="1" t="s">
        <v>8</v>
      </c>
      <c r="B2898" t="str">
        <f>VLOOKUP(A2898,'Area Breakdown'!$B$1:$C$33,2,)</f>
        <v>Heliopolis</v>
      </c>
      <c r="C2898" s="2">
        <v>44407</v>
      </c>
      <c r="D2898" s="3">
        <v>206.8</v>
      </c>
    </row>
    <row r="2899" spans="1:4" ht="14.7" hidden="1" thickBot="1" x14ac:dyDescent="0.6">
      <c r="A2899" s="1" t="s">
        <v>4</v>
      </c>
      <c r="B2899" t="str">
        <f>VLOOKUP(A2899,'Area Breakdown'!$B$1:$C$33,2,)</f>
        <v>Downtown</v>
      </c>
      <c r="C2899" s="2">
        <v>44407</v>
      </c>
      <c r="D2899" s="3">
        <v>117.2</v>
      </c>
    </row>
    <row r="2900" spans="1:4" ht="14.7" hidden="1" thickBot="1" x14ac:dyDescent="0.6">
      <c r="A2900" s="1" t="s">
        <v>22</v>
      </c>
      <c r="B2900" t="str">
        <f>VLOOKUP(A2900,'Area Breakdown'!$B$1:$C$33,2,)</f>
        <v>Heliopolis</v>
      </c>
      <c r="C2900" s="2">
        <v>44407</v>
      </c>
      <c r="D2900" s="3">
        <v>0</v>
      </c>
    </row>
    <row r="2901" spans="1:4" ht="14.7" hidden="1" thickBot="1" x14ac:dyDescent="0.6">
      <c r="A2901" s="1" t="s">
        <v>29</v>
      </c>
      <c r="B2901" t="str">
        <f>VLOOKUP(A2901,'Area Breakdown'!$B$1:$C$33,2,)</f>
        <v>Downtown</v>
      </c>
      <c r="C2901" s="2">
        <v>44407</v>
      </c>
      <c r="D2901" s="3">
        <v>0</v>
      </c>
    </row>
    <row r="2902" spans="1:4" ht="14.7" hidden="1" thickBot="1" x14ac:dyDescent="0.6">
      <c r="A2902" s="1" t="s">
        <v>17</v>
      </c>
      <c r="B2902" t="str">
        <f>VLOOKUP(A2902,'Area Breakdown'!$B$1:$C$33,2,)</f>
        <v>Heliopolis</v>
      </c>
      <c r="C2902" s="2">
        <v>44407</v>
      </c>
      <c r="D2902" s="3">
        <v>0</v>
      </c>
    </row>
    <row r="2903" spans="1:4" ht="14.7" hidden="1" thickBot="1" x14ac:dyDescent="0.6">
      <c r="A2903" s="1" t="s">
        <v>12</v>
      </c>
      <c r="B2903" t="str">
        <f>VLOOKUP(A2903,'Area Breakdown'!$B$1:$C$33,2,)</f>
        <v>New Cairo</v>
      </c>
      <c r="C2903" s="2">
        <v>44408</v>
      </c>
      <c r="D2903" s="3">
        <v>1143.2</v>
      </c>
    </row>
    <row r="2904" spans="1:4" ht="14.7" hidden="1" thickBot="1" x14ac:dyDescent="0.6">
      <c r="A2904" s="1" t="s">
        <v>20</v>
      </c>
      <c r="B2904" t="str">
        <f>VLOOKUP(A2904,'Area Breakdown'!$B$1:$C$33,2,)</f>
        <v>Downtown</v>
      </c>
      <c r="C2904" s="2">
        <v>44408</v>
      </c>
      <c r="D2904" s="3">
        <v>1085.2</v>
      </c>
    </row>
    <row r="2905" spans="1:4" ht="14.7" hidden="1" thickBot="1" x14ac:dyDescent="0.6">
      <c r="A2905" s="1" t="s">
        <v>24</v>
      </c>
      <c r="B2905" t="str">
        <f>VLOOKUP(A2905,'Area Breakdown'!$B$1:$C$33,2,)</f>
        <v>October</v>
      </c>
      <c r="C2905" s="2">
        <v>44408</v>
      </c>
      <c r="D2905" s="3">
        <v>989.6</v>
      </c>
    </row>
    <row r="2906" spans="1:4" ht="14.7" hidden="1" thickBot="1" x14ac:dyDescent="0.6">
      <c r="A2906" s="1" t="s">
        <v>27</v>
      </c>
      <c r="B2906" t="str">
        <f>VLOOKUP(A2906,'Area Breakdown'!$B$1:$C$33,2,)</f>
        <v xml:space="preserve">Alexandria </v>
      </c>
      <c r="C2906" s="2">
        <v>44408</v>
      </c>
      <c r="D2906" s="3">
        <v>830</v>
      </c>
    </row>
    <row r="2907" spans="1:4" ht="14.7" hidden="1" thickBot="1" x14ac:dyDescent="0.6">
      <c r="A2907" s="1" t="s">
        <v>16</v>
      </c>
      <c r="B2907" t="str">
        <f>VLOOKUP(A2907,'Area Breakdown'!$B$1:$C$33,2,)</f>
        <v>Downtown</v>
      </c>
      <c r="C2907" s="2">
        <v>44408</v>
      </c>
      <c r="D2907" s="3">
        <v>800</v>
      </c>
    </row>
    <row r="2908" spans="1:4" ht="14.7" hidden="1" thickBot="1" x14ac:dyDescent="0.6">
      <c r="A2908" s="1" t="s">
        <v>10</v>
      </c>
      <c r="B2908" t="str">
        <f>VLOOKUP(A2908,'Area Breakdown'!$B$1:$C$33,2,)</f>
        <v xml:space="preserve">Alexandria </v>
      </c>
      <c r="C2908" s="2">
        <v>44408</v>
      </c>
      <c r="D2908" s="3">
        <v>723.6</v>
      </c>
    </row>
    <row r="2909" spans="1:4" ht="14.7" hidden="1" thickBot="1" x14ac:dyDescent="0.6">
      <c r="A2909" s="1" t="s">
        <v>1</v>
      </c>
      <c r="B2909" t="str">
        <f>VLOOKUP(A2909,'Area Breakdown'!$B$1:$C$33,2,)</f>
        <v>Downtown</v>
      </c>
      <c r="C2909" s="2">
        <v>44408</v>
      </c>
      <c r="D2909" s="3">
        <v>723.2</v>
      </c>
    </row>
    <row r="2910" spans="1:4" ht="14.7" hidden="1" thickBot="1" x14ac:dyDescent="0.6">
      <c r="A2910" s="1" t="s">
        <v>19</v>
      </c>
      <c r="B2910" t="str">
        <f>VLOOKUP(A2910,'Area Breakdown'!$B$1:$C$33,2,)</f>
        <v>Downtown</v>
      </c>
      <c r="C2910" s="2">
        <v>44408</v>
      </c>
      <c r="D2910" s="3">
        <v>694</v>
      </c>
    </row>
    <row r="2911" spans="1:4" ht="14.7" hidden="1" thickBot="1" x14ac:dyDescent="0.6">
      <c r="A2911" s="1" t="s">
        <v>3</v>
      </c>
      <c r="B2911" t="str">
        <f>VLOOKUP(A2911,'Area Breakdown'!$B$1:$C$33,2,)</f>
        <v>Downtown</v>
      </c>
      <c r="C2911" s="2">
        <v>44408</v>
      </c>
      <c r="D2911" s="3">
        <v>661.6</v>
      </c>
    </row>
    <row r="2912" spans="1:4" ht="14.7" hidden="1" thickBot="1" x14ac:dyDescent="0.6">
      <c r="A2912" s="1" t="s">
        <v>11</v>
      </c>
      <c r="B2912" t="str">
        <f>VLOOKUP(A2912,'Area Breakdown'!$B$1:$C$33,2,)</f>
        <v>New Cairo</v>
      </c>
      <c r="C2912" s="2">
        <v>44408</v>
      </c>
      <c r="D2912" s="3">
        <v>640</v>
      </c>
    </row>
    <row r="2913" spans="1:4" ht="14.7" hidden="1" thickBot="1" x14ac:dyDescent="0.6">
      <c r="A2913" s="1" t="s">
        <v>15</v>
      </c>
      <c r="B2913" t="str">
        <f>VLOOKUP(A2913,'Area Breakdown'!$B$1:$C$33,2,)</f>
        <v>Heliopolis</v>
      </c>
      <c r="C2913" s="2">
        <v>44408</v>
      </c>
      <c r="D2913" s="3">
        <v>483.6</v>
      </c>
    </row>
    <row r="2914" spans="1:4" ht="14.7" hidden="1" thickBot="1" x14ac:dyDescent="0.6">
      <c r="A2914" s="1" t="s">
        <v>9</v>
      </c>
      <c r="B2914" t="str">
        <f>VLOOKUP(A2914,'Area Breakdown'!$B$1:$C$33,2,)</f>
        <v xml:space="preserve">Alexandria </v>
      </c>
      <c r="C2914" s="2">
        <v>44408</v>
      </c>
      <c r="D2914" s="3">
        <v>452.8</v>
      </c>
    </row>
    <row r="2915" spans="1:4" ht="14.7" hidden="1" thickBot="1" x14ac:dyDescent="0.6">
      <c r="A2915" s="1" t="s">
        <v>2</v>
      </c>
      <c r="B2915" t="str">
        <f>VLOOKUP(A2915,'Area Breakdown'!$B$1:$C$33,2,)</f>
        <v>Downtown</v>
      </c>
      <c r="C2915" s="2">
        <v>44408</v>
      </c>
      <c r="D2915" s="3">
        <v>431.6</v>
      </c>
    </row>
    <row r="2916" spans="1:4" ht="14.7" hidden="1" thickBot="1" x14ac:dyDescent="0.6">
      <c r="A2916" s="1" t="s">
        <v>0</v>
      </c>
      <c r="B2916" t="str">
        <f>VLOOKUP(A2916,'Area Breakdown'!$B$1:$C$33,2,)</f>
        <v>Downtown</v>
      </c>
      <c r="C2916" s="2">
        <v>44408</v>
      </c>
      <c r="D2916" s="3">
        <v>425.20000000000005</v>
      </c>
    </row>
    <row r="2917" spans="1:4" ht="14.7" hidden="1" thickBot="1" x14ac:dyDescent="0.6">
      <c r="A2917" s="1" t="s">
        <v>7</v>
      </c>
      <c r="B2917" t="str">
        <f>VLOOKUP(A2917,'Area Breakdown'!$B$1:$C$33,2,)</f>
        <v>October</v>
      </c>
      <c r="C2917" s="2">
        <v>44408</v>
      </c>
      <c r="D2917" s="3">
        <v>418</v>
      </c>
    </row>
    <row r="2918" spans="1:4" ht="14.7" hidden="1" thickBot="1" x14ac:dyDescent="0.6">
      <c r="A2918" s="1" t="s">
        <v>13</v>
      </c>
      <c r="B2918" t="str">
        <f>VLOOKUP(A2918,'Area Breakdown'!$B$1:$C$33,2,)</f>
        <v>Heliopolis</v>
      </c>
      <c r="C2918" s="2">
        <v>44408</v>
      </c>
      <c r="D2918" s="3">
        <v>411.20000000000005</v>
      </c>
    </row>
    <row r="2919" spans="1:4" ht="14.7" hidden="1" thickBot="1" x14ac:dyDescent="0.6">
      <c r="A2919" s="1" t="s">
        <v>6</v>
      </c>
      <c r="B2919" t="str">
        <f>VLOOKUP(A2919,'Area Breakdown'!$B$1:$C$33,2,)</f>
        <v xml:space="preserve">Alexandria </v>
      </c>
      <c r="C2919" s="2">
        <v>44408</v>
      </c>
      <c r="D2919" s="3">
        <v>323.60000000000002</v>
      </c>
    </row>
    <row r="2920" spans="1:4" ht="14.7" hidden="1" thickBot="1" x14ac:dyDescent="0.6">
      <c r="A2920" s="1" t="s">
        <v>4</v>
      </c>
      <c r="B2920" t="str">
        <f>VLOOKUP(A2920,'Area Breakdown'!$B$1:$C$33,2,)</f>
        <v>Downtown</v>
      </c>
      <c r="C2920" s="2">
        <v>44408</v>
      </c>
      <c r="D2920" s="3">
        <v>265.2</v>
      </c>
    </row>
    <row r="2921" spans="1:4" ht="14.7" hidden="1" thickBot="1" x14ac:dyDescent="0.6">
      <c r="A2921" s="1" t="s">
        <v>23</v>
      </c>
      <c r="B2921" t="str">
        <f>VLOOKUP(A2921,'Area Breakdown'!$B$1:$C$33,2,)</f>
        <v>Heliopolis</v>
      </c>
      <c r="C2921" s="2">
        <v>44408</v>
      </c>
      <c r="D2921" s="3">
        <v>202.8</v>
      </c>
    </row>
    <row r="2922" spans="1:4" ht="14.7" hidden="1" thickBot="1" x14ac:dyDescent="0.6">
      <c r="A2922" s="1" t="s">
        <v>8</v>
      </c>
      <c r="B2922" t="str">
        <f>VLOOKUP(A2922,'Area Breakdown'!$B$1:$C$33,2,)</f>
        <v>Heliopolis</v>
      </c>
      <c r="C2922" s="2">
        <v>44408</v>
      </c>
      <c r="D2922" s="3">
        <v>191.60000000000002</v>
      </c>
    </row>
    <row r="2923" spans="1:4" ht="14.7" hidden="1" thickBot="1" x14ac:dyDescent="0.6">
      <c r="A2923" s="1" t="s">
        <v>30</v>
      </c>
      <c r="B2923" t="str">
        <f>VLOOKUP(A2923,'Area Breakdown'!$B$1:$C$33,2,)</f>
        <v>October</v>
      </c>
      <c r="C2923" s="2">
        <v>44408</v>
      </c>
      <c r="D2923" s="3">
        <v>107.2</v>
      </c>
    </row>
    <row r="2924" spans="1:4" ht="14.7" hidden="1" thickBot="1" x14ac:dyDescent="0.6">
      <c r="A2924" s="1" t="s">
        <v>25</v>
      </c>
      <c r="B2924" t="str">
        <f>VLOOKUP(A2924,'Area Breakdown'!$B$1:$C$33,2,)</f>
        <v>October</v>
      </c>
      <c r="C2924" s="2">
        <v>44408</v>
      </c>
      <c r="D2924" s="3">
        <v>0</v>
      </c>
    </row>
    <row r="2925" spans="1:4" ht="14.7" hidden="1" thickBot="1" x14ac:dyDescent="0.6">
      <c r="A2925" s="1" t="s">
        <v>22</v>
      </c>
      <c r="B2925" t="str">
        <f>VLOOKUP(A2925,'Area Breakdown'!$B$1:$C$33,2,)</f>
        <v>Heliopolis</v>
      </c>
      <c r="C2925" s="2">
        <v>44408</v>
      </c>
      <c r="D2925" s="3">
        <v>0</v>
      </c>
    </row>
    <row r="2926" spans="1:4" ht="14.7" hidden="1" thickBot="1" x14ac:dyDescent="0.6">
      <c r="A2926" s="1" t="s">
        <v>29</v>
      </c>
      <c r="B2926" t="str">
        <f>VLOOKUP(A2926,'Area Breakdown'!$B$1:$C$33,2,)</f>
        <v>Downtown</v>
      </c>
      <c r="C2926" s="2">
        <v>44408</v>
      </c>
      <c r="D2926" s="3">
        <v>0</v>
      </c>
    </row>
    <row r="2927" spans="1:4" ht="14.7" hidden="1" thickBot="1" x14ac:dyDescent="0.6">
      <c r="A2927" s="1" t="s">
        <v>17</v>
      </c>
      <c r="B2927" t="str">
        <f>VLOOKUP(A2927,'Area Breakdown'!$B$1:$C$33,2,)</f>
        <v>Heliopolis</v>
      </c>
      <c r="C2927" s="2">
        <v>44408</v>
      </c>
      <c r="D2927" s="3">
        <v>0</v>
      </c>
    </row>
    <row r="2928" spans="1:4" ht="14.7" hidden="1" thickBot="1" x14ac:dyDescent="0.6">
      <c r="A2928" s="1" t="s">
        <v>21</v>
      </c>
      <c r="B2928" t="str">
        <f>VLOOKUP(A2928,'Area Breakdown'!$B$1:$C$33,2,)</f>
        <v>Heliopolis</v>
      </c>
      <c r="C2928" s="2">
        <v>44408</v>
      </c>
      <c r="D2928" s="3">
        <v>1298</v>
      </c>
    </row>
  </sheetData>
  <autoFilter ref="A1:D2928" xr:uid="{00000000-0001-0000-0000-000000000000}">
    <filterColumn colId="2">
      <filters>
        <dateGroupItem year="2021" month="5" dateTimeGrouping="month"/>
      </filters>
    </filterColumn>
  </autoFilter>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6"/>
  <dimension ref="B1:C33"/>
  <sheetViews>
    <sheetView workbookViewId="0">
      <selection activeCell="L26" sqref="L26"/>
    </sheetView>
  </sheetViews>
  <sheetFormatPr defaultRowHeight="14.4" x14ac:dyDescent="0.55000000000000004"/>
  <cols>
    <col min="2" max="2" width="20.83984375" customWidth="1"/>
    <col min="3" max="3" width="20.15625" bestFit="1" customWidth="1"/>
  </cols>
  <sheetData>
    <row r="1" spans="2:3" x14ac:dyDescent="0.55000000000000004">
      <c r="B1" s="4" t="s">
        <v>41</v>
      </c>
      <c r="C1" s="4" t="s">
        <v>39</v>
      </c>
    </row>
    <row r="2" spans="2:3" x14ac:dyDescent="0.55000000000000004">
      <c r="B2" t="s">
        <v>6</v>
      </c>
      <c r="C2" t="s">
        <v>34</v>
      </c>
    </row>
    <row r="3" spans="2:3" x14ac:dyDescent="0.55000000000000004">
      <c r="B3" t="s">
        <v>10</v>
      </c>
      <c r="C3" t="s">
        <v>34</v>
      </c>
    </row>
    <row r="4" spans="2:3" x14ac:dyDescent="0.55000000000000004">
      <c r="B4" t="s">
        <v>27</v>
      </c>
      <c r="C4" t="s">
        <v>34</v>
      </c>
    </row>
    <row r="5" spans="2:3" x14ac:dyDescent="0.55000000000000004">
      <c r="B5" t="s">
        <v>9</v>
      </c>
      <c r="C5" t="s">
        <v>34</v>
      </c>
    </row>
    <row r="6" spans="2:3" x14ac:dyDescent="0.55000000000000004">
      <c r="B6" t="s">
        <v>0</v>
      </c>
      <c r="C6" t="s">
        <v>11</v>
      </c>
    </row>
    <row r="7" spans="2:3" x14ac:dyDescent="0.55000000000000004">
      <c r="B7" t="s">
        <v>2</v>
      </c>
      <c r="C7" t="s">
        <v>11</v>
      </c>
    </row>
    <row r="8" spans="2:3" x14ac:dyDescent="0.55000000000000004">
      <c r="B8" t="s">
        <v>3</v>
      </c>
      <c r="C8" t="s">
        <v>11</v>
      </c>
    </row>
    <row r="9" spans="2:3" x14ac:dyDescent="0.55000000000000004">
      <c r="B9" t="s">
        <v>16</v>
      </c>
      <c r="C9" t="s">
        <v>11</v>
      </c>
    </row>
    <row r="10" spans="2:3" x14ac:dyDescent="0.55000000000000004">
      <c r="B10" t="s">
        <v>20</v>
      </c>
      <c r="C10" t="s">
        <v>11</v>
      </c>
    </row>
    <row r="11" spans="2:3" x14ac:dyDescent="0.55000000000000004">
      <c r="B11" t="s">
        <v>4</v>
      </c>
      <c r="C11" t="s">
        <v>11</v>
      </c>
    </row>
    <row r="12" spans="2:3" x14ac:dyDescent="0.55000000000000004">
      <c r="B12" t="s">
        <v>19</v>
      </c>
      <c r="C12" t="s">
        <v>11</v>
      </c>
    </row>
    <row r="13" spans="2:3" x14ac:dyDescent="0.55000000000000004">
      <c r="B13" t="s">
        <v>1</v>
      </c>
      <c r="C13" t="s">
        <v>11</v>
      </c>
    </row>
    <row r="14" spans="2:3" x14ac:dyDescent="0.55000000000000004">
      <c r="B14" t="s">
        <v>29</v>
      </c>
      <c r="C14" t="s">
        <v>11</v>
      </c>
    </row>
    <row r="15" spans="2:3" x14ac:dyDescent="0.55000000000000004">
      <c r="B15" t="s">
        <v>26</v>
      </c>
      <c r="C15" t="s">
        <v>11</v>
      </c>
    </row>
    <row r="16" spans="2:3" x14ac:dyDescent="0.55000000000000004">
      <c r="B16" t="s">
        <v>24</v>
      </c>
      <c r="C16" t="s">
        <v>37</v>
      </c>
    </row>
    <row r="17" spans="2:3" x14ac:dyDescent="0.55000000000000004">
      <c r="B17" t="s">
        <v>5</v>
      </c>
      <c r="C17" t="s">
        <v>37</v>
      </c>
    </row>
    <row r="18" spans="2:3" x14ac:dyDescent="0.55000000000000004">
      <c r="B18" t="s">
        <v>30</v>
      </c>
      <c r="C18" t="s">
        <v>37</v>
      </c>
    </row>
    <row r="19" spans="2:3" x14ac:dyDescent="0.55000000000000004">
      <c r="B19" t="s">
        <v>7</v>
      </c>
      <c r="C19" t="s">
        <v>37</v>
      </c>
    </row>
    <row r="20" spans="2:3" x14ac:dyDescent="0.55000000000000004">
      <c r="B20" t="s">
        <v>25</v>
      </c>
      <c r="C20" t="s">
        <v>37</v>
      </c>
    </row>
    <row r="21" spans="2:3" x14ac:dyDescent="0.55000000000000004">
      <c r="B21" t="s">
        <v>28</v>
      </c>
      <c r="C21" t="s">
        <v>37</v>
      </c>
    </row>
    <row r="22" spans="2:3" x14ac:dyDescent="0.55000000000000004">
      <c r="B22" t="s">
        <v>38</v>
      </c>
      <c r="C22" t="s">
        <v>37</v>
      </c>
    </row>
    <row r="23" spans="2:3" x14ac:dyDescent="0.55000000000000004">
      <c r="B23" t="s">
        <v>14</v>
      </c>
      <c r="C23" t="s">
        <v>35</v>
      </c>
    </row>
    <row r="24" spans="2:3" x14ac:dyDescent="0.55000000000000004">
      <c r="B24" t="s">
        <v>21</v>
      </c>
      <c r="C24" t="s">
        <v>35</v>
      </c>
    </row>
    <row r="25" spans="2:3" x14ac:dyDescent="0.55000000000000004">
      <c r="B25" t="s">
        <v>22</v>
      </c>
      <c r="C25" t="s">
        <v>35</v>
      </c>
    </row>
    <row r="26" spans="2:3" x14ac:dyDescent="0.55000000000000004">
      <c r="B26" t="s">
        <v>17</v>
      </c>
      <c r="C26" t="s">
        <v>35</v>
      </c>
    </row>
    <row r="27" spans="2:3" x14ac:dyDescent="0.55000000000000004">
      <c r="B27" t="s">
        <v>23</v>
      </c>
      <c r="C27" t="s">
        <v>35</v>
      </c>
    </row>
    <row r="28" spans="2:3" x14ac:dyDescent="0.55000000000000004">
      <c r="B28" t="s">
        <v>18</v>
      </c>
      <c r="C28" t="s">
        <v>35</v>
      </c>
    </row>
    <row r="29" spans="2:3" x14ac:dyDescent="0.55000000000000004">
      <c r="B29" t="s">
        <v>13</v>
      </c>
      <c r="C29" t="s">
        <v>35</v>
      </c>
    </row>
    <row r="30" spans="2:3" x14ac:dyDescent="0.55000000000000004">
      <c r="B30" t="s">
        <v>15</v>
      </c>
      <c r="C30" t="s">
        <v>35</v>
      </c>
    </row>
    <row r="31" spans="2:3" x14ac:dyDescent="0.55000000000000004">
      <c r="B31" t="s">
        <v>8</v>
      </c>
      <c r="C31" t="s">
        <v>35</v>
      </c>
    </row>
    <row r="32" spans="2:3" x14ac:dyDescent="0.55000000000000004">
      <c r="B32" t="s">
        <v>12</v>
      </c>
      <c r="C32" t="s">
        <v>36</v>
      </c>
    </row>
    <row r="33" spans="2:3" x14ac:dyDescent="0.55000000000000004">
      <c r="B33" t="s">
        <v>11</v>
      </c>
      <c r="C33" t="s">
        <v>36</v>
      </c>
    </row>
  </sheetData>
  <phoneticPr fontId="3"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E36FF-5558-4994-979A-85F673D0D9C3}">
  <sheetPr codeName="Sheet7"/>
  <dimension ref="H1:Y18"/>
  <sheetViews>
    <sheetView showGridLines="0" tabSelected="1" zoomScale="85" zoomScaleNormal="85" workbookViewId="0">
      <selection activeCell="P4" sqref="P4:T5"/>
    </sheetView>
  </sheetViews>
  <sheetFormatPr defaultRowHeight="14.4" x14ac:dyDescent="0.55000000000000004"/>
  <cols>
    <col min="1" max="6" width="8.83984375" style="5"/>
    <col min="7" max="7" width="7.5234375" style="5" customWidth="1"/>
    <col min="8" max="10" width="8.83984375" style="5" hidden="1" customWidth="1"/>
    <col min="11" max="13" width="8.83984375" style="5"/>
    <col min="14" max="14" width="12.5234375" style="5" customWidth="1"/>
    <col min="15" max="15" width="16.83984375" style="5" customWidth="1"/>
    <col min="16" max="16" width="22.20703125" style="5" customWidth="1"/>
    <col min="17" max="17" width="4.62890625" style="5" customWidth="1"/>
    <col min="18" max="18" width="11.1015625" style="5" customWidth="1"/>
    <col min="19" max="19" width="16.3125" style="5" bestFit="1" customWidth="1"/>
    <col min="20" max="20" width="15.05078125" style="5" bestFit="1" customWidth="1"/>
    <col min="21" max="21" width="28.47265625" style="5" customWidth="1"/>
    <col min="22" max="22" width="14.7890625" style="5" customWidth="1"/>
    <col min="23" max="23" width="5.26171875" style="5" customWidth="1"/>
    <col min="24" max="24" width="8.83984375" style="5"/>
    <col min="25" max="25" width="15.15625" style="5" customWidth="1"/>
    <col min="26" max="16384" width="8.83984375" style="5"/>
  </cols>
  <sheetData>
    <row r="1" spans="11:25" ht="14.4" customHeight="1" x14ac:dyDescent="0.55000000000000004">
      <c r="K1" s="14" t="s">
        <v>44</v>
      </c>
      <c r="L1" s="14"/>
      <c r="M1" s="14"/>
      <c r="N1" s="14"/>
      <c r="P1" s="14" t="s">
        <v>45</v>
      </c>
      <c r="Q1" s="14"/>
      <c r="R1" s="14"/>
      <c r="S1" s="14"/>
      <c r="T1" s="14"/>
      <c r="U1" s="14"/>
      <c r="V1" s="14"/>
      <c r="W1" s="14"/>
      <c r="X1" s="14"/>
      <c r="Y1" s="14"/>
    </row>
    <row r="2" spans="11:25" ht="14.4" customHeight="1" x14ac:dyDescent="0.55000000000000004">
      <c r="K2" s="14"/>
      <c r="L2" s="14"/>
      <c r="M2" s="14"/>
      <c r="N2" s="14"/>
      <c r="P2" s="14"/>
      <c r="Q2" s="14"/>
      <c r="R2" s="14"/>
      <c r="S2" s="14"/>
      <c r="T2" s="14"/>
      <c r="U2" s="14"/>
      <c r="V2" s="14"/>
      <c r="W2" s="14"/>
      <c r="X2" s="14"/>
      <c r="Y2" s="14"/>
    </row>
    <row r="3" spans="11:25" ht="14.4" customHeight="1" x14ac:dyDescent="0.55000000000000004">
      <c r="K3" s="14"/>
      <c r="L3" s="14"/>
      <c r="M3" s="14"/>
      <c r="N3" s="14"/>
      <c r="P3" s="14"/>
      <c r="Q3" s="14"/>
      <c r="R3" s="14"/>
      <c r="S3" s="14"/>
      <c r="T3" s="14"/>
      <c r="U3" s="14"/>
      <c r="V3" s="14"/>
      <c r="W3" s="14"/>
      <c r="X3" s="14"/>
      <c r="Y3" s="14"/>
    </row>
    <row r="4" spans="11:25" ht="14.4" customHeight="1" x14ac:dyDescent="0.55000000000000004">
      <c r="K4" s="14">
        <f>GETPIVOTDATA("[Measures].[Distinct Count of Store Name]",Max_branch!$E$19)</f>
        <v>27</v>
      </c>
      <c r="L4" s="14"/>
      <c r="M4" s="14"/>
      <c r="N4" s="14"/>
      <c r="P4" s="15">
        <f>GETPIVOTDATA("[Measures].[Sum of Revenue]",Max_branch!$E$19)</f>
        <v>1761723.6</v>
      </c>
      <c r="Q4" s="15"/>
      <c r="R4" s="15"/>
      <c r="S4" s="15"/>
      <c r="T4" s="15"/>
    </row>
    <row r="5" spans="11:25" ht="14.4" customHeight="1" x14ac:dyDescent="0.55000000000000004">
      <c r="K5" s="14"/>
      <c r="L5" s="14"/>
      <c r="M5" s="14"/>
      <c r="N5" s="14"/>
      <c r="P5" s="15"/>
      <c r="Q5" s="15"/>
      <c r="R5" s="15"/>
      <c r="S5" s="15"/>
      <c r="T5" s="15"/>
    </row>
    <row r="6" spans="11:25" ht="14.4" customHeight="1" x14ac:dyDescent="1.1000000000000001">
      <c r="S6" s="9"/>
      <c r="T6" s="9"/>
      <c r="U6" s="9"/>
    </row>
    <row r="7" spans="11:25" ht="14.4" customHeight="1" x14ac:dyDescent="1.1000000000000001">
      <c r="R7" s="9"/>
      <c r="S7" s="9"/>
      <c r="T7" s="9"/>
      <c r="U7" s="9"/>
    </row>
    <row r="8" spans="11:25" ht="14.4" customHeight="1" x14ac:dyDescent="1.1000000000000001">
      <c r="R8" s="9"/>
      <c r="S8" s="9"/>
      <c r="T8" s="9"/>
    </row>
    <row r="9" spans="11:25" ht="24" customHeight="1" x14ac:dyDescent="1.1000000000000001">
      <c r="S9" s="13" t="s">
        <v>51</v>
      </c>
      <c r="T9" s="14"/>
      <c r="W9" s="9"/>
    </row>
    <row r="10" spans="11:25" ht="24" customHeight="1" x14ac:dyDescent="1.1000000000000001">
      <c r="S10" s="14"/>
      <c r="T10" s="14"/>
      <c r="W10" s="9"/>
    </row>
    <row r="11" spans="11:25" ht="24" x14ac:dyDescent="1.1000000000000001">
      <c r="S11" s="10" t="s">
        <v>41</v>
      </c>
      <c r="T11" s="10" t="s">
        <v>46</v>
      </c>
      <c r="W11" s="9"/>
    </row>
    <row r="12" spans="11:25" ht="15.6" x14ac:dyDescent="0.6">
      <c r="S12" s="11" t="s">
        <v>12</v>
      </c>
      <c r="T12" s="17">
        <v>144931.60000000006</v>
      </c>
    </row>
    <row r="13" spans="11:25" ht="15.6" x14ac:dyDescent="0.6">
      <c r="S13" s="11" t="s">
        <v>0</v>
      </c>
      <c r="T13" s="17">
        <v>120517.6</v>
      </c>
    </row>
    <row r="14" spans="11:25" ht="15.6" x14ac:dyDescent="0.6">
      <c r="S14" s="11" t="s">
        <v>21</v>
      </c>
      <c r="T14" s="17">
        <v>104645.60000000005</v>
      </c>
    </row>
    <row r="15" spans="11:25" ht="15.6" x14ac:dyDescent="0.6">
      <c r="S15" s="11" t="s">
        <v>19</v>
      </c>
      <c r="T15" s="17">
        <v>103708.80000000002</v>
      </c>
    </row>
    <row r="16" spans="11:25" ht="15.6" x14ac:dyDescent="0.6">
      <c r="S16" s="11" t="s">
        <v>22</v>
      </c>
      <c r="T16" s="17">
        <v>99682.000000000044</v>
      </c>
    </row>
    <row r="17" spans="19:20" ht="15.6" x14ac:dyDescent="0.6">
      <c r="S17" s="11" t="s">
        <v>43</v>
      </c>
      <c r="T17" s="17">
        <v>573485.59999999916</v>
      </c>
    </row>
    <row r="18" spans="19:20" ht="15.6" x14ac:dyDescent="0.6">
      <c r="S18" s="12"/>
      <c r="T18" s="12"/>
    </row>
  </sheetData>
  <mergeCells count="5">
    <mergeCell ref="S9:T10"/>
    <mergeCell ref="K1:N3"/>
    <mergeCell ref="K4:N5"/>
    <mergeCell ref="P1:Y3"/>
    <mergeCell ref="P4:T5"/>
  </mergeCells>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F3E6360-9259-4559-BDCF-8B3764EA9E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Area vs sales</vt:lpstr>
      <vt:lpstr>Months vs Revenues</vt:lpstr>
      <vt:lpstr>Stores Vs revenues</vt:lpstr>
      <vt:lpstr>Max_branch</vt:lpstr>
      <vt:lpstr>Raw Data</vt:lpstr>
      <vt:lpstr>Area Breakdown</vt:lpstr>
      <vt:lpstr>Dashboard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Amir Botros</dc:creator>
  <cp:lastModifiedBy>Marwa Ebrahim Hassanien</cp:lastModifiedBy>
  <dcterms:created xsi:type="dcterms:W3CDTF">2021-10-18T10:50:37Z</dcterms:created>
  <dcterms:modified xsi:type="dcterms:W3CDTF">2025-11-08T10:34:59Z</dcterms:modified>
</cp:coreProperties>
</file>